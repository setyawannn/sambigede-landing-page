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AMBIGEDE\Documents\"/>
    </mc:Choice>
  </mc:AlternateContent>
  <bookViews>
    <workbookView xWindow="0" yWindow="0" windowWidth="10848" windowHeight="7596"/>
  </bookViews>
  <sheets>
    <sheet name="APBDES PERUBAHAN" sheetId="1" r:id="rId1"/>
    <sheet name="APBDES AWAL" sheetId="2" r:id="rId2"/>
  </sheets>
  <externalReferences>
    <externalReference r:id="rId3"/>
    <externalReference r:id="rId4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53" i="2" l="1"/>
  <c r="K143" i="2"/>
  <c r="K138" i="2"/>
  <c r="K135" i="2"/>
  <c r="K133" i="2"/>
  <c r="K132" i="2"/>
  <c r="K131" i="2"/>
  <c r="K129" i="2"/>
  <c r="K130" i="2" s="1"/>
  <c r="K128" i="2"/>
  <c r="K127" i="2"/>
  <c r="K123" i="2"/>
  <c r="K122" i="2"/>
  <c r="K119" i="2"/>
  <c r="K116" i="2"/>
  <c r="K115" i="2"/>
  <c r="K113" i="2"/>
  <c r="K110" i="2"/>
  <c r="K109" i="2"/>
  <c r="K106" i="2"/>
  <c r="K104" i="2"/>
  <c r="K102" i="2"/>
  <c r="K101" i="2"/>
  <c r="K100" i="2"/>
  <c r="K97" i="2"/>
  <c r="K98" i="2" s="1"/>
  <c r="K95" i="2"/>
  <c r="K93" i="2"/>
  <c r="K92" i="2"/>
  <c r="K91" i="2"/>
  <c r="K88" i="2"/>
  <c r="K87" i="2" s="1"/>
  <c r="K85" i="2"/>
  <c r="K84" i="2"/>
  <c r="K82" i="2"/>
  <c r="K81" i="2"/>
  <c r="K80" i="2"/>
  <c r="K79" i="2"/>
  <c r="K78" i="2"/>
  <c r="K77" i="2"/>
  <c r="K76" i="2"/>
  <c r="K75" i="2"/>
  <c r="K73" i="2"/>
  <c r="K71" i="2"/>
  <c r="K69" i="2"/>
  <c r="K68" i="2"/>
  <c r="K67" i="2" s="1"/>
  <c r="K65" i="2"/>
  <c r="K64" i="2"/>
  <c r="K59" i="2"/>
  <c r="K58" i="2"/>
  <c r="K57" i="2" s="1"/>
  <c r="K54" i="2"/>
  <c r="K55" i="2" s="1"/>
  <c r="K52" i="2"/>
  <c r="K51" i="2"/>
  <c r="K49" i="2"/>
  <c r="K47" i="2"/>
  <c r="K46" i="2"/>
  <c r="K45" i="2"/>
  <c r="K43" i="2" s="1"/>
  <c r="K41" i="2"/>
  <c r="K39" i="2"/>
  <c r="K40" i="2" s="1"/>
  <c r="K37" i="2"/>
  <c r="K36" i="2"/>
  <c r="K34" i="2"/>
  <c r="K33" i="2"/>
  <c r="K32" i="2"/>
  <c r="K30" i="2"/>
  <c r="K31" i="2" s="1"/>
  <c r="K28" i="2" s="1"/>
  <c r="K16" i="2"/>
  <c r="K24" i="2" s="1"/>
  <c r="K56" i="2" l="1"/>
  <c r="K53" i="2"/>
  <c r="K27" i="2"/>
  <c r="K145" i="2" s="1"/>
  <c r="K146" i="2" s="1"/>
  <c r="E433" i="1" l="1"/>
  <c r="D430" i="1"/>
  <c r="E430" i="1" s="1"/>
  <c r="E429" i="1"/>
  <c r="D429" i="1"/>
  <c r="D428" i="1"/>
  <c r="E428" i="1" s="1"/>
  <c r="D427" i="1"/>
  <c r="E427" i="1" s="1"/>
  <c r="D426" i="1"/>
  <c r="E426" i="1" s="1"/>
  <c r="E417" i="1"/>
  <c r="D417" i="1"/>
  <c r="E415" i="1"/>
  <c r="D415" i="1"/>
  <c r="E413" i="1"/>
  <c r="D413" i="1"/>
  <c r="D412" i="1" s="1"/>
  <c r="E412" i="1"/>
  <c r="E408" i="1"/>
  <c r="D408" i="1"/>
  <c r="D407" i="1" s="1"/>
  <c r="D406" i="1" s="1"/>
  <c r="E407" i="1"/>
  <c r="E406" i="1" s="1"/>
  <c r="D400" i="1"/>
  <c r="D399" i="1"/>
  <c r="D396" i="1"/>
  <c r="D392" i="1"/>
  <c r="D391" i="1"/>
  <c r="D390" i="1" s="1"/>
  <c r="D389" i="1" s="1"/>
  <c r="E383" i="1"/>
  <c r="D383" i="1"/>
  <c r="E378" i="1"/>
  <c r="D378" i="1"/>
  <c r="E377" i="1"/>
  <c r="D377" i="1"/>
  <c r="D376" i="1" s="1"/>
  <c r="E366" i="1"/>
  <c r="D366" i="1"/>
  <c r="F363" i="1"/>
  <c r="D362" i="1"/>
  <c r="F362" i="1" s="1"/>
  <c r="F361" i="1"/>
  <c r="E360" i="1"/>
  <c r="D360" i="1"/>
  <c r="D354" i="1" s="1"/>
  <c r="F359" i="1"/>
  <c r="F358" i="1"/>
  <c r="F357" i="1"/>
  <c r="F356" i="1"/>
  <c r="E355" i="1"/>
  <c r="D355" i="1"/>
  <c r="F355" i="1" s="1"/>
  <c r="E354" i="1"/>
  <c r="E353" i="1"/>
  <c r="E350" i="1"/>
  <c r="D350" i="1"/>
  <c r="D347" i="1" s="1"/>
  <c r="D346" i="1" s="1"/>
  <c r="E347" i="1"/>
  <c r="E346" i="1" s="1"/>
  <c r="E345" i="1" s="1"/>
  <c r="E338" i="1"/>
  <c r="D338" i="1"/>
  <c r="E337" i="1"/>
  <c r="E334" i="1" s="1"/>
  <c r="D337" i="1"/>
  <c r="E336" i="1"/>
  <c r="D336" i="1"/>
  <c r="D334" i="1" s="1"/>
  <c r="F330" i="1"/>
  <c r="D330" i="1"/>
  <c r="D319" i="1" s="1"/>
  <c r="D318" i="1" s="1"/>
  <c r="D317" i="1" s="1"/>
  <c r="F317" i="1" s="1"/>
  <c r="F329" i="1"/>
  <c r="F328" i="1"/>
  <c r="F326" i="1"/>
  <c r="F322" i="1"/>
  <c r="F321" i="1"/>
  <c r="F320" i="1" s="1"/>
  <c r="F319" i="1" s="1"/>
  <c r="D320" i="1"/>
  <c r="E317" i="1"/>
  <c r="E305" i="1"/>
  <c r="D305" i="1"/>
  <c r="D304" i="1" s="1"/>
  <c r="D303" i="1" s="1"/>
  <c r="E304" i="1"/>
  <c r="E303" i="1" s="1"/>
  <c r="E302" i="1" s="1"/>
  <c r="F291" i="1"/>
  <c r="D290" i="1"/>
  <c r="F290" i="1" s="1"/>
  <c r="D289" i="1"/>
  <c r="F289" i="1" s="1"/>
  <c r="F287" i="1"/>
  <c r="F286" i="1"/>
  <c r="F285" i="1"/>
  <c r="F281" i="1" s="1"/>
  <c r="F284" i="1"/>
  <c r="D284" i="1"/>
  <c r="D283" i="1" s="1"/>
  <c r="F283" i="1" s="1"/>
  <c r="E281" i="1"/>
  <c r="C281" i="1"/>
  <c r="E268" i="1"/>
  <c r="D268" i="1"/>
  <c r="E267" i="1"/>
  <c r="E266" i="1" s="1"/>
  <c r="D267" i="1"/>
  <c r="D266" i="1" s="1"/>
  <c r="E262" i="1"/>
  <c r="D262" i="1"/>
  <c r="D257" i="1" s="1"/>
  <c r="D256" i="1" s="1"/>
  <c r="E258" i="1"/>
  <c r="E257" i="1" s="1"/>
  <c r="E256" i="1" s="1"/>
  <c r="E247" i="1" s="1"/>
  <c r="E246" i="1" s="1"/>
  <c r="E245" i="1" s="1"/>
  <c r="D258" i="1"/>
  <c r="E253" i="1"/>
  <c r="D253" i="1"/>
  <c r="F250" i="1"/>
  <c r="E248" i="1"/>
  <c r="D248" i="1"/>
  <c r="F243" i="1"/>
  <c r="D242" i="1"/>
  <c r="F242" i="1" s="1"/>
  <c r="F241" i="1"/>
  <c r="F240" i="1"/>
  <c r="F239" i="1"/>
  <c r="F238" i="1"/>
  <c r="D237" i="1"/>
  <c r="F237" i="1" s="1"/>
  <c r="E229" i="1"/>
  <c r="D229" i="1"/>
  <c r="E228" i="1"/>
  <c r="D228" i="1"/>
  <c r="E224" i="1"/>
  <c r="D224" i="1"/>
  <c r="E223" i="1"/>
  <c r="E220" i="1" s="1"/>
  <c r="E219" i="1" s="1"/>
  <c r="D223" i="1"/>
  <c r="E221" i="1"/>
  <c r="D221" i="1"/>
  <c r="D220" i="1" s="1"/>
  <c r="D219" i="1" s="1"/>
  <c r="D218" i="1" s="1"/>
  <c r="E208" i="1"/>
  <c r="D208" i="1"/>
  <c r="E207" i="1"/>
  <c r="D207" i="1"/>
  <c r="E206" i="1"/>
  <c r="D206" i="1"/>
  <c r="E203" i="1"/>
  <c r="E202" i="1" s="1"/>
  <c r="E201" i="1" s="1"/>
  <c r="D203" i="1"/>
  <c r="D202" i="1"/>
  <c r="D201" i="1" s="1"/>
  <c r="E195" i="1"/>
  <c r="D195" i="1"/>
  <c r="E193" i="1"/>
  <c r="D193" i="1"/>
  <c r="E186" i="1"/>
  <c r="D186" i="1"/>
  <c r="E185" i="1"/>
  <c r="D185" i="1"/>
  <c r="E184" i="1"/>
  <c r="D184" i="1"/>
  <c r="E180" i="1"/>
  <c r="E179" i="1" s="1"/>
  <c r="E178" i="1" s="1"/>
  <c r="D180" i="1"/>
  <c r="D179" i="1"/>
  <c r="D178" i="1" s="1"/>
  <c r="E174" i="1"/>
  <c r="D174" i="1"/>
  <c r="E173" i="1"/>
  <c r="D173" i="1"/>
  <c r="E172" i="1"/>
  <c r="D172" i="1"/>
  <c r="E163" i="1"/>
  <c r="D163" i="1"/>
  <c r="D162" i="1" s="1"/>
  <c r="D161" i="1" s="1"/>
  <c r="D160" i="1" s="1"/>
  <c r="E162" i="1"/>
  <c r="E161" i="1" s="1"/>
  <c r="E160" i="1" s="1"/>
  <c r="F157" i="1"/>
  <c r="D156" i="1"/>
  <c r="F156" i="1" s="1"/>
  <c r="F155" i="1"/>
  <c r="D154" i="1"/>
  <c r="F154" i="1" s="1"/>
  <c r="D153" i="1"/>
  <c r="F153" i="1" s="1"/>
  <c r="D152" i="1"/>
  <c r="F152" i="1" s="1"/>
  <c r="D148" i="1"/>
  <c r="D147" i="1"/>
  <c r="D146" i="1" s="1"/>
  <c r="D145" i="1" s="1"/>
  <c r="E142" i="1"/>
  <c r="D142" i="1"/>
  <c r="E141" i="1"/>
  <c r="D141" i="1"/>
  <c r="E140" i="1"/>
  <c r="D140" i="1"/>
  <c r="E139" i="1"/>
  <c r="D139" i="1"/>
  <c r="E136" i="1"/>
  <c r="E135" i="1" s="1"/>
  <c r="D136" i="1"/>
  <c r="D135" i="1" s="1"/>
  <c r="E133" i="1"/>
  <c r="E132" i="1" s="1"/>
  <c r="E131" i="1" s="1"/>
  <c r="D133" i="1"/>
  <c r="D132" i="1" s="1"/>
  <c r="D131" i="1" s="1"/>
  <c r="F126" i="1"/>
  <c r="E125" i="1"/>
  <c r="D125" i="1"/>
  <c r="F125" i="1" s="1"/>
  <c r="E124" i="1"/>
  <c r="E123" i="1" s="1"/>
  <c r="F123" i="1" s="1"/>
  <c r="D124" i="1"/>
  <c r="F124" i="1" s="1"/>
  <c r="D123" i="1"/>
  <c r="F121" i="1"/>
  <c r="F120" i="1"/>
  <c r="F119" i="1"/>
  <c r="E119" i="1"/>
  <c r="D119" i="1"/>
  <c r="E118" i="1"/>
  <c r="D118" i="1"/>
  <c r="F118" i="1" s="1"/>
  <c r="F114" i="1"/>
  <c r="D113" i="1"/>
  <c r="F113" i="1" s="1"/>
  <c r="E112" i="1"/>
  <c r="D112" i="1"/>
  <c r="F112" i="1" s="1"/>
  <c r="E111" i="1"/>
  <c r="D111" i="1"/>
  <c r="D110" i="1" s="1"/>
  <c r="E107" i="1"/>
  <c r="D107" i="1"/>
  <c r="E105" i="1"/>
  <c r="D105" i="1"/>
  <c r="E104" i="1"/>
  <c r="D104" i="1"/>
  <c r="E103" i="1"/>
  <c r="D103" i="1"/>
  <c r="E96" i="1"/>
  <c r="E95" i="1" s="1"/>
  <c r="D96" i="1"/>
  <c r="D95" i="1" s="1"/>
  <c r="E91" i="1"/>
  <c r="E90" i="1" s="1"/>
  <c r="E89" i="1" s="1"/>
  <c r="D91" i="1"/>
  <c r="D90" i="1" s="1"/>
  <c r="D89" i="1" s="1"/>
  <c r="E85" i="1"/>
  <c r="D85" i="1"/>
  <c r="E77" i="1"/>
  <c r="D77" i="1"/>
  <c r="E74" i="1"/>
  <c r="D74" i="1"/>
  <c r="E66" i="1"/>
  <c r="E63" i="1" s="1"/>
  <c r="D66" i="1"/>
  <c r="D63" i="1" s="1"/>
  <c r="E55" i="1"/>
  <c r="D55" i="1"/>
  <c r="D54" i="1" s="1"/>
  <c r="D53" i="1" s="1"/>
  <c r="E48" i="1"/>
  <c r="D48" i="1"/>
  <c r="E47" i="1"/>
  <c r="D47" i="1"/>
  <c r="E44" i="1"/>
  <c r="D44" i="1"/>
  <c r="E43" i="1"/>
  <c r="E42" i="1" s="1"/>
  <c r="D43" i="1"/>
  <c r="D42" i="1" s="1"/>
  <c r="E39" i="1"/>
  <c r="E38" i="1" s="1"/>
  <c r="E37" i="1" s="1"/>
  <c r="D39" i="1"/>
  <c r="D38" i="1" s="1"/>
  <c r="D37" i="1" s="1"/>
  <c r="D36" i="1" s="1"/>
  <c r="D29" i="1"/>
  <c r="F29" i="1" s="1"/>
  <c r="F27" i="1"/>
  <c r="F26" i="1"/>
  <c r="E26" i="1"/>
  <c r="E24" i="1" s="1"/>
  <c r="F25" i="1"/>
  <c r="D24" i="1"/>
  <c r="F24" i="1" s="1"/>
  <c r="E21" i="1"/>
  <c r="D20" i="1"/>
  <c r="E20" i="1" s="1"/>
  <c r="D19" i="1"/>
  <c r="E19" i="1" s="1"/>
  <c r="E376" i="1" l="1"/>
  <c r="D375" i="1"/>
  <c r="E110" i="1"/>
  <c r="E218" i="1"/>
  <c r="E217" i="1" s="1"/>
  <c r="D247" i="1"/>
  <c r="D246" i="1" s="1"/>
  <c r="D245" i="1" s="1"/>
  <c r="F245" i="1" s="1"/>
  <c r="F160" i="1"/>
  <c r="E54" i="1"/>
  <c r="E53" i="1" s="1"/>
  <c r="E36" i="1" s="1"/>
  <c r="E35" i="1" s="1"/>
  <c r="F354" i="1"/>
  <c r="D353" i="1"/>
  <c r="F353" i="1" s="1"/>
  <c r="D35" i="1"/>
  <c r="F412" i="1"/>
  <c r="D171" i="1"/>
  <c r="E171" i="1"/>
  <c r="E234" i="1"/>
  <c r="D151" i="1"/>
  <c r="F151" i="1" s="1"/>
  <c r="F360" i="1"/>
  <c r="D424" i="1"/>
  <c r="D16" i="1"/>
  <c r="F111" i="1"/>
  <c r="F110" i="1" s="1"/>
  <c r="F35" i="1" s="1"/>
  <c r="D236" i="1"/>
  <c r="D282" i="1"/>
  <c r="F282" i="1" l="1"/>
  <c r="D281" i="1"/>
  <c r="F236" i="1"/>
  <c r="D235" i="1"/>
  <c r="E16" i="1"/>
  <c r="E32" i="1" s="1"/>
  <c r="D32" i="1"/>
  <c r="E375" i="1"/>
  <c r="E365" i="1" s="1"/>
  <c r="E420" i="1" s="1"/>
  <c r="D365" i="1"/>
  <c r="D435" i="1"/>
  <c r="E424" i="1"/>
  <c r="D345" i="1"/>
  <c r="F32" i="1" l="1"/>
  <c r="F345" i="1"/>
  <c r="F302" i="1" s="1"/>
  <c r="D302" i="1"/>
  <c r="E421" i="1"/>
  <c r="D234" i="1"/>
  <c r="F235" i="1"/>
  <c r="F365" i="1"/>
  <c r="F16" i="1"/>
  <c r="F234" i="1" l="1"/>
  <c r="F217" i="1" s="1"/>
  <c r="F420" i="1" s="1"/>
  <c r="D217" i="1"/>
  <c r="D420" i="1" s="1"/>
  <c r="D421" i="1" s="1"/>
  <c r="D436" i="1" s="1"/>
  <c r="F421" i="1"/>
</calcChain>
</file>

<file path=xl/sharedStrings.xml><?xml version="1.0" encoding="utf-8"?>
<sst xmlns="http://schemas.openxmlformats.org/spreadsheetml/2006/main" count="1019" uniqueCount="504">
  <si>
    <t>LAMPIRAN 1</t>
  </si>
  <si>
    <t>PERATURAN KEPALA DESA SAMBIGEDE</t>
  </si>
  <si>
    <t>TENTANG</t>
  </si>
  <si>
    <t xml:space="preserve">ANGGARAN PENDAPATAN DAN BELANJA </t>
  </si>
  <si>
    <t>PEMERINTAH DESA SAMBIGEDE</t>
  </si>
  <si>
    <t>TAHUN ANGGARAN 2026</t>
  </si>
  <si>
    <t>KODE REK.</t>
  </si>
  <si>
    <t>URAIAN</t>
  </si>
  <si>
    <t>ANGGARAN (Rp)</t>
  </si>
  <si>
    <t>Kurang/Lebih</t>
  </si>
  <si>
    <t>SUMBER DANA</t>
  </si>
  <si>
    <t>KET</t>
  </si>
  <si>
    <t xml:space="preserve">Semula </t>
  </si>
  <si>
    <t>Menjadi</t>
  </si>
  <si>
    <t>4</t>
  </si>
  <si>
    <t>PENDAPATAN</t>
  </si>
  <si>
    <t>4.1</t>
  </si>
  <si>
    <t>Pendapatan Asli Desa</t>
  </si>
  <si>
    <t>PAD</t>
  </si>
  <si>
    <t>4.1.1</t>
  </si>
  <si>
    <t>Hasil Usaha Desa</t>
  </si>
  <si>
    <t>4.1.1.01</t>
  </si>
  <si>
    <t>Bagi Hasil BUMDes</t>
  </si>
  <si>
    <t>4.1.2</t>
  </si>
  <si>
    <t>Hasil Aset Desa</t>
  </si>
  <si>
    <t>4.1.2.01</t>
  </si>
  <si>
    <t>Pengelolaan Tanah Kas Desa</t>
  </si>
  <si>
    <t xml:space="preserve">- Pengelolaan Tanah Bengkok </t>
  </si>
  <si>
    <t>4.2</t>
  </si>
  <si>
    <t>Pendapatan Transfer</t>
  </si>
  <si>
    <t>4.2.1</t>
  </si>
  <si>
    <t>Dana Desa</t>
  </si>
  <si>
    <t>DDS</t>
  </si>
  <si>
    <t>4.2.2</t>
  </si>
  <si>
    <t>Bagi Hasil Pajak dan Retribusi Daerah</t>
  </si>
  <si>
    <t>PBH</t>
  </si>
  <si>
    <t>4.2.3</t>
  </si>
  <si>
    <t>Alokasi Dana Desa</t>
  </si>
  <si>
    <t>ADD</t>
  </si>
  <si>
    <t>4.3</t>
  </si>
  <si>
    <t>Pendapatan Lain-lain</t>
  </si>
  <si>
    <t>DLL</t>
  </si>
  <si>
    <t>4.3.5</t>
  </si>
  <si>
    <t>Koreksi Belanja Kesalahan Belanja Tahun sebelumnya</t>
  </si>
  <si>
    <t>4.3.6</t>
  </si>
  <si>
    <t>Bunga Bank</t>
  </si>
  <si>
    <t>JUMLAH PENDAPATAN</t>
  </si>
  <si>
    <t>5</t>
  </si>
  <si>
    <t>BELANJA</t>
  </si>
  <si>
    <t>1</t>
  </si>
  <si>
    <t>BIDANG PENYELENGGARAAN PEMERINTAH DESA</t>
  </si>
  <si>
    <t>1.1</t>
  </si>
  <si>
    <t>Penyelenggaraan Belanja Siltap, Tunjangan dan Operasional Pemerintahan Desa (Max. 30%)</t>
  </si>
  <si>
    <t>1.1.01</t>
  </si>
  <si>
    <t>Penghasilan Tetap dan Tunjangan Kepala Desa</t>
  </si>
  <si>
    <t>1.01.01</t>
  </si>
  <si>
    <t>5.1</t>
  </si>
  <si>
    <t>Belanja Pegawai</t>
  </si>
  <si>
    <t>5.1.1</t>
  </si>
  <si>
    <t>5.1.1.01</t>
  </si>
  <si>
    <t>Siltap Kepala Desa</t>
  </si>
  <si>
    <t>1.1.02</t>
  </si>
  <si>
    <t>Penghasilan Tetap dan Tunjangan Perangkat Desa</t>
  </si>
  <si>
    <t>Siltap Perangkat Desa</t>
  </si>
  <si>
    <t>1.1.03</t>
  </si>
  <si>
    <t>Penyediaan BPJS Ketenagakerjaan Kepala Desa&amp;Perangkat Desa</t>
  </si>
  <si>
    <t>silpa PBH</t>
  </si>
  <si>
    <t>5.1.3</t>
  </si>
  <si>
    <t>Jaminan Sosial Kepala Desa dan Perangkat Desa</t>
  </si>
  <si>
    <t>5.1.3.03</t>
  </si>
  <si>
    <t>BPJS Ketenagakerjaan Kepala Desa</t>
  </si>
  <si>
    <t>5.1.3.04</t>
  </si>
  <si>
    <t>BPJS Ketenagakerjaan Perangkat Desa</t>
  </si>
  <si>
    <t>1.1.04</t>
  </si>
  <si>
    <t>Penyediaan Operasional Pemerintahan Desa</t>
  </si>
  <si>
    <t>5.2</t>
  </si>
  <si>
    <t>Belanja Barang dan Jasa</t>
  </si>
  <si>
    <t>5.2.1</t>
  </si>
  <si>
    <t>Belanja Barang Perlengkapan</t>
  </si>
  <si>
    <t>5.2.1.01</t>
  </si>
  <si>
    <t>Belanja alat tulis dan benda pos</t>
  </si>
  <si>
    <t>Silpa PBH</t>
  </si>
  <si>
    <t>Belanja alat tulis dan benda pos (DLL)</t>
  </si>
  <si>
    <t>DLL&amp;Silpa DLL</t>
  </si>
  <si>
    <t>5.2.1.02</t>
  </si>
  <si>
    <t>Belanja perlengkapan alat-alat listrik</t>
  </si>
  <si>
    <t>SILPA ADD</t>
  </si>
  <si>
    <t>5.2.1.03</t>
  </si>
  <si>
    <t>Belanja perlengkapan alat rumah tangga dan kebersihan</t>
  </si>
  <si>
    <t>5.2.1.04</t>
  </si>
  <si>
    <t>Belanja bahan bakar minyak/gas/isi ulang tabung pemadam</t>
  </si>
  <si>
    <t>5.2.1.05</t>
  </si>
  <si>
    <t>Belanja barang cetak dan penggandaan</t>
  </si>
  <si>
    <t>5.2.1.09</t>
  </si>
  <si>
    <t>Belanja Pakaian Dinas/Atribut/Seragam</t>
  </si>
  <si>
    <t>5.2.2</t>
  </si>
  <si>
    <t>Belanja jasa honorarium</t>
  </si>
  <si>
    <t>ADD&amp;silpa add</t>
  </si>
  <si>
    <t>5.2.2.01</t>
  </si>
  <si>
    <t>Honorarium Pelaksana Kegiatan (PKPKD dan PPKD)</t>
  </si>
  <si>
    <t>5.2.2.02</t>
  </si>
  <si>
    <t>Honorarium Petugas Kebersihan</t>
  </si>
  <si>
    <t>5.2.2.03</t>
  </si>
  <si>
    <t>5.2.2.04</t>
  </si>
  <si>
    <t>5.2.2.05</t>
  </si>
  <si>
    <t>5.2.2.06</t>
  </si>
  <si>
    <t>Honorarium Petugas Operator Website</t>
  </si>
  <si>
    <t>5.2.2.07</t>
  </si>
  <si>
    <t>Honorarium Petugas Staff Kamituwo</t>
  </si>
  <si>
    <t>5.2.2.08</t>
  </si>
  <si>
    <t>Honorarium Petugas Operator SIK-NG</t>
  </si>
  <si>
    <t>5.2.2.09</t>
  </si>
  <si>
    <t>Honorarium Petugas (PPN/Modin)</t>
  </si>
  <si>
    <t>Honorarium Petugas Operator Desa</t>
  </si>
  <si>
    <t>5.2.3</t>
  </si>
  <si>
    <t>Belanja Perjalan Dinas</t>
  </si>
  <si>
    <t>5.2.3.01</t>
  </si>
  <si>
    <t>Belanja Perjalanan Dinas dalam kabupaten</t>
  </si>
  <si>
    <t xml:space="preserve"> PBH</t>
  </si>
  <si>
    <t>5.2.3.02</t>
  </si>
  <si>
    <t>Belanja Perjalanan Dinas Luar kabupaten</t>
  </si>
  <si>
    <t>5.2.5</t>
  </si>
  <si>
    <t>Belanja operasional perkantoran</t>
  </si>
  <si>
    <t>5.2.5.01</t>
  </si>
  <si>
    <t>Belanja jasa langganan listrik</t>
  </si>
  <si>
    <t>5.2.5.04</t>
  </si>
  <si>
    <t>Belanja jasa langganan telepon</t>
  </si>
  <si>
    <t>5.2.5.05</t>
  </si>
  <si>
    <t>Belanja jasa Langganan Internet</t>
  </si>
  <si>
    <t>5.2.5.06</t>
  </si>
  <si>
    <t>Belanja jasa kurir/pos/giro</t>
  </si>
  <si>
    <t xml:space="preserve"> </t>
  </si>
  <si>
    <t>5.2.5.07</t>
  </si>
  <si>
    <t>Belanja jasa perpanjangan ijin/pajak</t>
  </si>
  <si>
    <t>5.2.5.99</t>
  </si>
  <si>
    <t>Belanja Operasional perkantoran lainnya</t>
  </si>
  <si>
    <t>5.2.6</t>
  </si>
  <si>
    <t>Belanja pemeliharaan</t>
  </si>
  <si>
    <t>5.2.6.02</t>
  </si>
  <si>
    <t>Belanja pemeliharaan kendaraan bermotor</t>
  </si>
  <si>
    <t>5.2.6.03</t>
  </si>
  <si>
    <t>Belanja pemeliharaan peralatan Kantor</t>
  </si>
  <si>
    <t>1.1.05</t>
  </si>
  <si>
    <t>Tunjangan BPD</t>
  </si>
  <si>
    <t>5.1.4</t>
  </si>
  <si>
    <t>5.1.4.01</t>
  </si>
  <si>
    <t>Tunjangan kedudukan BPD</t>
  </si>
  <si>
    <t>5.1.4.05</t>
  </si>
  <si>
    <t>Jaminan Ketenagakerjaan BPD</t>
  </si>
  <si>
    <t>silpa ADD</t>
  </si>
  <si>
    <t>1.1.06</t>
  </si>
  <si>
    <t>Penyediaan Operasional BPD</t>
  </si>
  <si>
    <t>5.2.1.06</t>
  </si>
  <si>
    <t>Belanja barang konsumsi (mamin)</t>
  </si>
  <si>
    <t>Belanja Pakaian Dinas/Seragam</t>
  </si>
  <si>
    <t>1.1.07</t>
  </si>
  <si>
    <t>Penyediaan Insentif / Operasional RT/RW</t>
  </si>
  <si>
    <t>5.2.5.08</t>
  </si>
  <si>
    <t>Belanja Operasional Perkantoran</t>
  </si>
  <si>
    <t>Belanja Insentif/Operasional RT/RW</t>
  </si>
  <si>
    <t>1.1.08</t>
  </si>
  <si>
    <t>Penyediaan Operasional Pemdes Yang Bersumber dari Dana Desa</t>
  </si>
  <si>
    <t>01. Koordinasi Pemdes</t>
  </si>
  <si>
    <t>DD</t>
  </si>
  <si>
    <t>Belanja perlengkapan</t>
  </si>
  <si>
    <t>5.2.1.1</t>
  </si>
  <si>
    <t>makan minum</t>
  </si>
  <si>
    <t>5.2.1.92</t>
  </si>
  <si>
    <t>Belanja Operasional kegiatan</t>
  </si>
  <si>
    <t>Belanja perjadin dalam kabupaten/kota</t>
  </si>
  <si>
    <t>Belanja perjadin luar kabupaten/kota</t>
  </si>
  <si>
    <t>02. Dukungan Penanggulangan Kerawanan Sosial</t>
  </si>
  <si>
    <t>Belanja barang konsumsi (mamin)/paket sembako</t>
  </si>
  <si>
    <t>03. Kegiatan Seremonial Desa</t>
  </si>
  <si>
    <t>5.2.4</t>
  </si>
  <si>
    <t>Belanja Jasa sewa</t>
  </si>
  <si>
    <t>5.2.4.02</t>
  </si>
  <si>
    <t>Belanja Jasa Peralatan / Perlengkapan</t>
  </si>
  <si>
    <t>1.1.90</t>
  </si>
  <si>
    <t>Penyediaan Tambahan Tunjangan Kepala Desa dan Perangkat Desa yang bersumber dari tanah bengkok</t>
  </si>
  <si>
    <t>Penghasilan tetap dan tunjangan Kepala Desa</t>
  </si>
  <si>
    <t>5.1.1.99</t>
  </si>
  <si>
    <t>Penerimaan lain Kepala Desa yang sah</t>
  </si>
  <si>
    <t>5.1.2</t>
  </si>
  <si>
    <t>Penghasilan tetap dan tunjangan Perangkat Desa</t>
  </si>
  <si>
    <t>5.1.2.99</t>
  </si>
  <si>
    <t>Penerimaan lain Perangkat Desa yang sah</t>
  </si>
  <si>
    <t>1.1.91</t>
  </si>
  <si>
    <t>Penyediaan Jaminan Sosial bagi RT/RW</t>
  </si>
  <si>
    <t>5.2.5.91</t>
  </si>
  <si>
    <t>Belanja Jasa Jaminan Ketenagakerjaan RT/RW</t>
  </si>
  <si>
    <t>37 orang</t>
  </si>
  <si>
    <t>1.1.94</t>
  </si>
  <si>
    <t>Penyediaan BPJS Ketenagakerjaan RT/RW</t>
  </si>
  <si>
    <t>5.1.8</t>
  </si>
  <si>
    <t>Jaminan Sosial Bagi BPD dan RT/RW</t>
  </si>
  <si>
    <t>5.1.8.04</t>
  </si>
  <si>
    <t>Jaminan Sosial Bagi RT/RW</t>
  </si>
  <si>
    <t>01. RT/RW (65 orang @Rp.11.000)</t>
  </si>
  <si>
    <t>1.2</t>
  </si>
  <si>
    <t>Penyediaan Sarana Prasarana Pemerintahan Desa</t>
  </si>
  <si>
    <t>1.2.01</t>
  </si>
  <si>
    <t>Penyediaan Sarana (aset tetap) Perkantoran</t>
  </si>
  <si>
    <t>5.3</t>
  </si>
  <si>
    <t>Belanja Modal</t>
  </si>
  <si>
    <t>5.3.2</t>
  </si>
  <si>
    <t>Belanja Modal Pengadaan peralatan Komputer</t>
  </si>
  <si>
    <t>Pembelian Lapotop</t>
  </si>
  <si>
    <t>5.4.2.02</t>
  </si>
  <si>
    <t>Pemeliharaan bangunan</t>
  </si>
  <si>
    <t>Barang dan Jasa</t>
  </si>
  <si>
    <t>Pembelian Laptop</t>
  </si>
  <si>
    <t>1.3</t>
  </si>
  <si>
    <t>Administrasi Kependudukan, Pencatatan Sipil, Statistik dan Kearsipan</t>
  </si>
  <si>
    <t>1.3.02</t>
  </si>
  <si>
    <t>Penyusunan, Pendataan, dan Pemutakhiran Profil Desa (IDM) /JEBOL Dan SDGS</t>
  </si>
  <si>
    <t>Belanja Jasa Honorarium Narasumber</t>
  </si>
  <si>
    <t>Belanja Jasa Honorarium Tim Pelaksanaan Kegiatan</t>
  </si>
  <si>
    <t xml:space="preserve">Belanja Jasa Honorarium Petugas </t>
  </si>
  <si>
    <t>1.4</t>
  </si>
  <si>
    <t>Tata Praja Pemerintahan, Perencanaan, Keuangan dan Pelaporan</t>
  </si>
  <si>
    <t>1.4.01</t>
  </si>
  <si>
    <t>Penyelenggaraan Musy Perencanaan Desa (Pembahasan APBDes)</t>
  </si>
  <si>
    <t>Musdes</t>
  </si>
  <si>
    <t>1.4.02</t>
  </si>
  <si>
    <t>Penyelenggaraan Musyawarah lainnya (Musdus,rembug Desa dan Non reguler)</t>
  </si>
  <si>
    <t>1.4.03</t>
  </si>
  <si>
    <t>Penyusunan Dokumen Perencanan Desa (RPJMDes / RKPDes)</t>
  </si>
  <si>
    <t>Belanja jasa honorarium Tim Pelaksana Kegiatan</t>
  </si>
  <si>
    <t>1.4.04</t>
  </si>
  <si>
    <t>Penyusunan Dokumen Keuangan  Desa (APBDes, APBDes Perubahan, LPJ)</t>
  </si>
  <si>
    <t>1.4.05</t>
  </si>
  <si>
    <t>Pengelolaan Administrasi/ Inventarisasi/Penilaian Aset Desa</t>
  </si>
  <si>
    <t>Belanja jasa honorarium petugas</t>
  </si>
  <si>
    <t>Pengembangan sistem informasi dan dokumentasi Desa</t>
  </si>
  <si>
    <t>Belanja barang Perlengkapan</t>
  </si>
  <si>
    <t xml:space="preserve">Cetak Bener Apbedel Awal /pak /realisasi Apbdes </t>
  </si>
  <si>
    <t>Sub Bidang Pertanahan</t>
  </si>
  <si>
    <t>Administrasi Pajak Bumi dan Bangunan (PBB)</t>
  </si>
  <si>
    <t>Belanja Barang dan jasa</t>
  </si>
  <si>
    <t>Identifikasi  dan Optimalisasi PBB</t>
  </si>
  <si>
    <t>2.</t>
  </si>
  <si>
    <t>BIDANG PELAKSANAAN PEMBANGUNAN DESA</t>
  </si>
  <si>
    <t>2.1</t>
  </si>
  <si>
    <t>Sub Bidang Pendidikan</t>
  </si>
  <si>
    <t>2.1.01</t>
  </si>
  <si>
    <t>Penyelenggaraan PAUD/TK/MADIN</t>
  </si>
  <si>
    <t>5.2.99</t>
  </si>
  <si>
    <t>Belanja Perlengkapan Lainnya</t>
  </si>
  <si>
    <t>Belanja jasa honorarium Petugas</t>
  </si>
  <si>
    <t>- Insentif Guru TK/PAUD</t>
  </si>
  <si>
    <t>- Insentif Guru MADIN</t>
  </si>
  <si>
    <t>2.1.02</t>
  </si>
  <si>
    <t>Dukungan Penyelenggaraan tk /Paud</t>
  </si>
  <si>
    <t>5.3.9</t>
  </si>
  <si>
    <t>Belanja Modal Lainnya</t>
  </si>
  <si>
    <t>5.3.9.1</t>
  </si>
  <si>
    <t>Belanja Pemasangan Listik</t>
  </si>
  <si>
    <t>2.2</t>
  </si>
  <si>
    <t>Sub Bidang Kesehatan</t>
  </si>
  <si>
    <t>2.2.01</t>
  </si>
  <si>
    <t>Penyelenggaraan Pos Kesehatan Desa/Polindes Milik Desa (obat, Insentif, KB, dsb)</t>
  </si>
  <si>
    <t>5.2.1.07</t>
  </si>
  <si>
    <t>Belanja Bahan Material</t>
  </si>
  <si>
    <t>Belanja atribut/seragam</t>
  </si>
  <si>
    <t xml:space="preserve">Belanja jasa honorarium petugas </t>
  </si>
  <si>
    <t>2.2.02</t>
  </si>
  <si>
    <t>Penyelenggaraan Posyandu (Balita, Lansia, Posbindu, Taman Posyandu, Kelas Bumil dan Pencegahan Stunting)</t>
  </si>
  <si>
    <t xml:space="preserve">01. POSYANDU ILP 7 POS </t>
  </si>
  <si>
    <t>Belanja barang konsumsi PMT Balita</t>
  </si>
  <si>
    <t>Belanja barang konsumsi PMT Lansia</t>
  </si>
  <si>
    <t>02. PENANGGULANGAN STUNTING DAN KELAS BUMIL</t>
  </si>
  <si>
    <t>Belanja jasa honorarium petugas KPM</t>
  </si>
  <si>
    <t>2.2.04</t>
  </si>
  <si>
    <t>Penyelenggaraan Desa Siaga Kesehatan</t>
  </si>
  <si>
    <t>Belanja opersional kegiatan</t>
  </si>
  <si>
    <t>Belanja peralatan kebersihan</t>
  </si>
  <si>
    <t>2.2.05</t>
  </si>
  <si>
    <t>Pemeliharaan Poliden Milik Desa</t>
  </si>
  <si>
    <t>2.3.01</t>
  </si>
  <si>
    <t xml:space="preserve">Pemeliharaan Jalan Desa </t>
  </si>
  <si>
    <t>5.3.5</t>
  </si>
  <si>
    <t>Belanja Modal Jalan / Prasarana Jalan</t>
  </si>
  <si>
    <t>01. RABAT JALAN RT 04 / 02 PAL</t>
  </si>
  <si>
    <t>02 RABAT JALAN RT 03/01</t>
  </si>
  <si>
    <t>03 RABAT JALAN RT 3/5</t>
  </si>
  <si>
    <t>2.3.06</t>
  </si>
  <si>
    <t>Pemeliharaan pelataran gorong-gorong/normalisasi sungai</t>
  </si>
  <si>
    <t>Belanja Barang dan jasa Jalan / Prasarana Jalan</t>
  </si>
  <si>
    <t>2.3.4</t>
  </si>
  <si>
    <t>Sub . Bantuan RTLH</t>
  </si>
  <si>
    <t>5.2.6.3</t>
  </si>
  <si>
    <t>Langganan media cetak</t>
  </si>
  <si>
    <t xml:space="preserve">Belanja Bahan Material </t>
  </si>
  <si>
    <t>3.</t>
  </si>
  <si>
    <t>BIDANG PEMBINAAN KEMASYARAKATAN</t>
  </si>
  <si>
    <t>3.1.1</t>
  </si>
  <si>
    <t>Sub Bidang Ketentraman,ketertiban Umum,dan Perlindungan Masyarakat</t>
  </si>
  <si>
    <t>SILPA DD</t>
  </si>
  <si>
    <t>Penguatan dan Peningkatan Kapasitas Tenaga Keamanan oleh Pemerintahan Desa (LINMAS)</t>
  </si>
  <si>
    <t>5.2.</t>
  </si>
  <si>
    <t>Belanja Cetak dan Pengandaan</t>
  </si>
  <si>
    <t>Makan Minum</t>
  </si>
  <si>
    <t>Honor Nara Sumber</t>
  </si>
  <si>
    <t>Honorarium Pertugas/bantuan trasport</t>
  </si>
  <si>
    <t>Belanja Honorarium Petugas Keamanan</t>
  </si>
  <si>
    <t>Belanja Honor Pengamanan Ketertiban Desa</t>
  </si>
  <si>
    <t>3.1.2</t>
  </si>
  <si>
    <t>Honorarium Petugas</t>
  </si>
  <si>
    <t>Honorarium Petugas Ketertipan keamanan Desa</t>
  </si>
  <si>
    <t>3.2</t>
  </si>
  <si>
    <t>Sub Bidang Kebudayaan dan Keagamaan</t>
  </si>
  <si>
    <t>3.2.03</t>
  </si>
  <si>
    <t>Penyelenggaraan Festival Kesenian,Adat Budaya dan Keagamaan,Perayaan hari kemerdekaan, hari besar keagamaan/</t>
  </si>
  <si>
    <t xml:space="preserve">Kegiatan Pelestarian adat Desa / Besih Desa </t>
  </si>
  <si>
    <t>5.2.1.08</t>
  </si>
  <si>
    <t>Opersional kegiatan</t>
  </si>
  <si>
    <t xml:space="preserve">Belanja Sewa </t>
  </si>
  <si>
    <t>5.2.1.99</t>
  </si>
  <si>
    <t>Belanja Sewa /terop/pangung</t>
  </si>
  <si>
    <t>Belanja Sewa Soud/terop/pangung</t>
  </si>
  <si>
    <t>PHBN</t>
  </si>
  <si>
    <t>Opersional Kegitan</t>
  </si>
  <si>
    <t>5.2.7</t>
  </si>
  <si>
    <t>PHBI</t>
  </si>
  <si>
    <t>5.2.7.90</t>
  </si>
  <si>
    <t>3.3</t>
  </si>
  <si>
    <t>Sub Bidang Kepemudaan dan Olahraga</t>
  </si>
  <si>
    <t>Pengiman Kontingen Lomba</t>
  </si>
  <si>
    <t>Belanja Kaos olah raga</t>
  </si>
  <si>
    <t>Belanja Koinsumsi Makan Minum</t>
  </si>
  <si>
    <t>Belanja sewa Pakaian</t>
  </si>
  <si>
    <t>Belanja jasa rias</t>
  </si>
  <si>
    <t xml:space="preserve">Belanja Jasa Rias </t>
  </si>
  <si>
    <t>3.4</t>
  </si>
  <si>
    <t>Sub Bidang Kelembagaan Masyarakat</t>
  </si>
  <si>
    <t>3.4.02</t>
  </si>
  <si>
    <t>Pembinaan LPMD/LKMD /BKD</t>
  </si>
  <si>
    <t>5.2.2.99</t>
  </si>
  <si>
    <t>Belanja Honorarium Lainnya (LPMD)</t>
  </si>
  <si>
    <t>3.4.03</t>
  </si>
  <si>
    <t>Pembinaan PKK</t>
  </si>
  <si>
    <t>Belanja pakaian dinas/atribut/seragam</t>
  </si>
  <si>
    <t>Honor Kegiatan PKK</t>
  </si>
  <si>
    <t>Belanja Perjalanan Dinas</t>
  </si>
  <si>
    <t>5.2.3.1</t>
  </si>
  <si>
    <t xml:space="preserve">Belanja Perjalanan Dinas dalam Kabupaten </t>
  </si>
  <si>
    <t>BIDANG PEMBERDAYAAN MASYARAKAT DESA</t>
  </si>
  <si>
    <t xml:space="preserve">Sub. Bidang Peningkatan Kapasitas Aparatur Desa </t>
  </si>
  <si>
    <t>Peningkatan Kapasitas Kepala Desa</t>
  </si>
  <si>
    <t>Belanja barang dan Jasa</t>
  </si>
  <si>
    <t>Belanja Operasional Kegiatan</t>
  </si>
  <si>
    <t>Peningkatan Kapasitas Perangkat Desa Jaksa Jaga Desa/ penyuluhan Polres /Impektorat</t>
  </si>
  <si>
    <t>Sub. Bidang Pertanian dan Peternakan</t>
  </si>
  <si>
    <t>4.2.05</t>
  </si>
  <si>
    <t>Pelatihan TTG Pertanian</t>
  </si>
  <si>
    <t>Belanja perlengkapan lainnya (alat dan bahan pelatihan)</t>
  </si>
  <si>
    <t>Belanja jasa honorarium Narasumber</t>
  </si>
  <si>
    <t xml:space="preserve">Uang saku Peserta </t>
  </si>
  <si>
    <t>Sub Bidang Pemberdayaan Perempuan, Perlindungan Anak dan Keluarga</t>
  </si>
  <si>
    <t>4.4.01</t>
  </si>
  <si>
    <t>Pelatihan dan Penyuluhan Pemberdayaan Perempuan</t>
  </si>
  <si>
    <t>Belanja Barang Cetak dan Penggandaan</t>
  </si>
  <si>
    <t>Belanja Barang Konsumsi (mamin)</t>
  </si>
  <si>
    <t>Belanja Jasa Honorarium</t>
  </si>
  <si>
    <t>Belanja Jasa Uang Saku Pelatihan/Seminar/Bimbingan Teknis</t>
  </si>
  <si>
    <t>Sub Bidang Perdagangan dan Perindustrian</t>
  </si>
  <si>
    <t>Pembangunan/Rehab Pasar Desa/Kios Milik (Desa KDMP)</t>
  </si>
  <si>
    <t>SILPA DDS</t>
  </si>
  <si>
    <t>5.3.1</t>
  </si>
  <si>
    <t>Belanja Modal Pengadaan tanah</t>
  </si>
  <si>
    <t>5.3.1.04</t>
  </si>
  <si>
    <t>Belanja Modal Pengurukan dan Pematangan Tanah</t>
  </si>
  <si>
    <t>Sub Bidang Keadaan Mendesak</t>
  </si>
  <si>
    <t>Penanggulangan Bencana</t>
  </si>
  <si>
    <t>5.4</t>
  </si>
  <si>
    <t>Belanja Tidak Terduga</t>
  </si>
  <si>
    <t>Penanganan Keadaan Darurat Desa</t>
  </si>
  <si>
    <t>5.3.3</t>
  </si>
  <si>
    <t>Penanganan Keadaan Mendesak</t>
  </si>
  <si>
    <t>Belanja Tidak Terduga (BLT DD)</t>
  </si>
  <si>
    <t>JUMLAH BELANJA</t>
  </si>
  <si>
    <t>SURPLUS / (DEFISIT)</t>
  </si>
  <si>
    <t>6</t>
  </si>
  <si>
    <t>PEMBIAYAAN</t>
  </si>
  <si>
    <t>6.1</t>
  </si>
  <si>
    <t>Penerimaan Pembiayaan (PERKIRAAN SILPA 2025)</t>
  </si>
  <si>
    <t>SILPA ADD 2025</t>
  </si>
  <si>
    <t>SILPA DD 2025</t>
  </si>
  <si>
    <t>SILPA APBH 2025</t>
  </si>
  <si>
    <t>SILPA DLL 2025</t>
  </si>
  <si>
    <t>6.2</t>
  </si>
  <si>
    <t>Pengeluaran Pembiayaan</t>
  </si>
  <si>
    <t xml:space="preserve">- Penyertaan Modal BUMDesa </t>
  </si>
  <si>
    <t>- Penyertaan Kopdes Merah Putih</t>
  </si>
  <si>
    <t>- Dana Cadangan Purna Tugas dan  Pilkades</t>
  </si>
  <si>
    <t>- Dana Cadangan Pilkades</t>
  </si>
  <si>
    <t>PEMBIAYAAN NETTO</t>
  </si>
  <si>
    <t>SISA LEBIH PEMBIAYAAN ANGGARAN</t>
  </si>
  <si>
    <t xml:space="preserve"> Sambigede, 17 Maret  2026</t>
  </si>
  <si>
    <t>Kepala Desa Sambigede</t>
  </si>
  <si>
    <t>( ROIHAN AL MADZHAR )</t>
  </si>
  <si>
    <t>PERUBAHAN ANGGARAN PENDAPATAN DAN BELANJA DESA</t>
  </si>
  <si>
    <t xml:space="preserve">         Lampiran  1b : Peraturan Desa Sambigede</t>
  </si>
  <si>
    <t xml:space="preserve">         Tanggal       :  30 Desember 2025</t>
  </si>
  <si>
    <t>ANGGARAN PENDAPATAN DAN BELANJA DESA PERUBAHAN</t>
  </si>
  <si>
    <t>TAHUN ANGGARAN 2025</t>
  </si>
  <si>
    <t>KODE REKENING</t>
  </si>
  <si>
    <t>NOMOR REKENING</t>
  </si>
  <si>
    <t>ANGGARAN BELANJA DESA AWAL</t>
  </si>
  <si>
    <t>A</t>
  </si>
  <si>
    <t>a</t>
  </si>
  <si>
    <t>b</t>
  </si>
  <si>
    <t>c</t>
  </si>
  <si>
    <t>d</t>
  </si>
  <si>
    <t>e</t>
  </si>
  <si>
    <t>f</t>
  </si>
  <si>
    <t>g</t>
  </si>
  <si>
    <t xml:space="preserve">  </t>
  </si>
  <si>
    <t>Retribusi Pajak Daerah dan Retribusi Daerah</t>
  </si>
  <si>
    <t>Pendapatan Lain lain</t>
  </si>
  <si>
    <t>Pendapatan Bunga Bank</t>
  </si>
  <si>
    <t>Bidang Penyelenggaraan Pemerintahan Desa</t>
  </si>
  <si>
    <t>Penyelengaraan Belanja Penghasilan tetap Tunjangan dan Operasional Pemerintahan Desa</t>
  </si>
  <si>
    <t>Penyediaan Penghasilan Tetap dan Tunjangan Kepala Desa</t>
  </si>
  <si>
    <t>Belanja Pegawai:</t>
  </si>
  <si>
    <t>Penyediaan Penghasilan Tetap dan Tunjangan Perangkat Desa</t>
  </si>
  <si>
    <t>Penyediaan Tunjangan Kepala desa dan perangkat Desa</t>
  </si>
  <si>
    <t>Penyediaan Jaminan Sosial Kepala Desa dan Perangkat Desa</t>
  </si>
  <si>
    <t xml:space="preserve">Penyediaan Operasional Pemerintahan Desa </t>
  </si>
  <si>
    <t>ADD&amp;DLL&amp;Silpa</t>
  </si>
  <si>
    <t>Penyediaan Operasional Pemerintah Desa ( Dana Desa)</t>
  </si>
  <si>
    <t xml:space="preserve">Penyediaan Tunjangan BPD </t>
  </si>
  <si>
    <t>Jaminan Sosial BPD</t>
  </si>
  <si>
    <t>Operasional BPD</t>
  </si>
  <si>
    <t>Insentif RT RW</t>
  </si>
  <si>
    <t>Jaminan Sosial RT/RW</t>
  </si>
  <si>
    <t>Sub bidang Sarana prasarana Pemerintahan Desa</t>
  </si>
  <si>
    <t>Penyediaan sarana (aset tetap) Perkantoran Pemerintahan Desa</t>
  </si>
  <si>
    <t>Sipa  PBH</t>
  </si>
  <si>
    <t>Belanja Laptop</t>
  </si>
  <si>
    <t>Pemeliharaan Kantor Desa</t>
  </si>
  <si>
    <t>Sub bidang Administrasi Kependudukan,Pencatatan Sipil, Statistik dan Kearsipan</t>
  </si>
  <si>
    <t>Pelayanan ADMINDUK</t>
  </si>
  <si>
    <t>SDGS</t>
  </si>
  <si>
    <t xml:space="preserve"> DD</t>
  </si>
  <si>
    <t>Sub Bidang Tata Praja Pemerintahan,Perencanaan,Keuangan dan Pelaporan</t>
  </si>
  <si>
    <t>Kegiatan Musyawarah Perencanaan Desa/musdes, musrenbangdes/APBdes</t>
  </si>
  <si>
    <t>Rembuk Desa</t>
  </si>
  <si>
    <t xml:space="preserve">Silpa DD </t>
  </si>
  <si>
    <t xml:space="preserve">Penyusunan Dokumen Keuangan Desa APBdes P/LPPD,LKPJ </t>
  </si>
  <si>
    <t>Penyusunan Dokumen Perencanaan Desa RPJMDes/RKPDes</t>
  </si>
  <si>
    <t>ADD&amp; silpa dd</t>
  </si>
  <si>
    <t>v</t>
  </si>
  <si>
    <t>Sertifikasi tanah</t>
  </si>
  <si>
    <t>Bidang Pelaksanaan Pembangunan Desa</t>
  </si>
  <si>
    <t>Penyelengaraan Paud/TK/TPA,TKA,TPQ(bantuan Honor Pengajar</t>
  </si>
  <si>
    <t>APK TK PKK</t>
  </si>
  <si>
    <t>Belanaja Modal</t>
  </si>
  <si>
    <t>Penyelengaraan Pos Kesehatan desa/ Penyediaan pelayanan KB(PKBD)</t>
  </si>
  <si>
    <t>Penyelengaraan Posyandu (PMT,Insentif Kader Posyandu)</t>
  </si>
  <si>
    <t>Pokja Desa Sehat</t>
  </si>
  <si>
    <t>silpa dd</t>
  </si>
  <si>
    <t>Sub Bidang Pekerjaan Umum dan Penataan Ruang</t>
  </si>
  <si>
    <t>Pembangunan Pengerasan Jalan JUT</t>
  </si>
  <si>
    <t>Pembangunan Rabat Jalan   RT 04 RW 04</t>
  </si>
  <si>
    <t>Pembangunan Rabat Jalan usaha Tani RT 02 RW 05</t>
  </si>
  <si>
    <t>Pembangunan Jalan Usaha tani  Paldoyong RT 04 RW 02</t>
  </si>
  <si>
    <t>Rehab Pelataran Gorong Gorong  RT 02 RW 03</t>
  </si>
  <si>
    <t>Penerangan Jalan Desa</t>
  </si>
  <si>
    <t>Sub Bidang Kawasan Pariwisata</t>
  </si>
  <si>
    <t>Sub Bidang Bantuan Masyarakat miskin exstrim</t>
  </si>
  <si>
    <t xml:space="preserve">Bidang Pembinaan Kemasyarakatan </t>
  </si>
  <si>
    <t>Sub.Bidang Kepemudaan dan Olah Raga</t>
  </si>
  <si>
    <t>Pembinaan Karang Taruna Desa</t>
  </si>
  <si>
    <t>silpa DD</t>
  </si>
  <si>
    <t>Sub. Bidang Kelembagaan Masyarakat</t>
  </si>
  <si>
    <t>Pembinaan LPMD</t>
  </si>
  <si>
    <t xml:space="preserve">Bidang Pemberdayaan Masyarakat </t>
  </si>
  <si>
    <t>Sub.Bidang Peningkatan Kapasitas Aparatur Desa</t>
  </si>
  <si>
    <t>Peningkatan Kapasitas Kepala Desa ,perangkat dan Lembaga</t>
  </si>
  <si>
    <t>Pelatihan Pertanian</t>
  </si>
  <si>
    <t>Sub. Bidang Pemberdayaan Perempuan</t>
  </si>
  <si>
    <t>Pelatihan Pemberdayaan Perempuan</t>
  </si>
  <si>
    <t>Sub. Bidang Permodalan</t>
  </si>
  <si>
    <t>Penambahan Modal Bumdesa  Ketahanan Pangan</t>
  </si>
  <si>
    <t>Penangulangan Bencana,Keadaan Darurat dan Mendesak</t>
  </si>
  <si>
    <t>Penangulangan Bencana</t>
  </si>
  <si>
    <t>Belanja Tak Terduga</t>
  </si>
  <si>
    <t>Keadaan Darurat</t>
  </si>
  <si>
    <t xml:space="preserve">Keadaan Mendesak </t>
  </si>
  <si>
    <t>30 KPM</t>
  </si>
  <si>
    <t>Belanja tak Terduga (BLT DD)</t>
  </si>
  <si>
    <t>SURFLUS/DEFISIT</t>
  </si>
  <si>
    <t>Penerimaan pembiayaan</t>
  </si>
  <si>
    <t>S I L P A</t>
  </si>
  <si>
    <t>Pencari Dana Cadangan</t>
  </si>
  <si>
    <t>Hasil Kekayaan Desa yang dipisahkan</t>
  </si>
  <si>
    <t>Jumlah (RP)</t>
  </si>
  <si>
    <t>Pembentukan Dana Cadangan</t>
  </si>
  <si>
    <t>Penyertaan modal Bumdes</t>
  </si>
  <si>
    <t>JUMLAH</t>
  </si>
  <si>
    <t>NOMOR 10  TAHUN 2026</t>
  </si>
  <si>
    <t xml:space="preserve">         Nomor         :  06  Tahun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</si>
</sst>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  <numFmt numFmtId="165" formatCode="d\.m"/>
    <numFmt numFmtId="166" formatCode="dd\.mm"/>
    <numFmt numFmtId="167" formatCode="dd\.mm\.yy"/>
    <numFmt numFmtId="168" formatCode="_(&quot;Rp&quot;* #,##0_);_(&quot;Rp&quot;* \(#,##0\);_(&quot;Rp&quot;* &quot;-&quot;_);_(@_)"/>
    <numFmt numFmtId="170" formatCode="_([$Rp-421]* #,##0_);_([$Rp-421]* \(#,##0\);_([$Rp-421]* &quot;-&quot;_);_(@_)"/>
    <numFmt numFmtId="171" formatCode="_-[$Rp-421]* #,##0.00_-;\-[$Rp-421]* #,##0.00_-;_-[$Rp-421]* &quot;-&quot;??_-;_-@_-"/>
  </numFmts>
  <fonts count="4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color theme="1"/>
      <name val="Bookman Old Style"/>
      <family val="1"/>
    </font>
    <font>
      <b/>
      <sz val="16"/>
      <color theme="1"/>
      <name val="Bookman Old Style"/>
      <family val="1"/>
    </font>
    <font>
      <b/>
      <sz val="16"/>
      <color rgb="FFFF0000"/>
      <name val="Bookman Old Style"/>
      <family val="1"/>
    </font>
    <font>
      <sz val="16"/>
      <color theme="1"/>
      <name val="Calibri"/>
      <family val="2"/>
      <scheme val="minor"/>
    </font>
    <font>
      <sz val="16"/>
      <color rgb="FF000000"/>
      <name val="Bookman Old Style"/>
      <family val="1"/>
    </font>
    <font>
      <b/>
      <sz val="16"/>
      <color rgb="FF000000"/>
      <name val="Bookman Old Style"/>
      <family val="1"/>
    </font>
    <font>
      <b/>
      <i/>
      <sz val="16"/>
      <color theme="1"/>
      <name val="Bookman Old Style"/>
      <family val="1"/>
    </font>
    <font>
      <b/>
      <i/>
      <sz val="16"/>
      <color rgb="FFFF0000"/>
      <name val="Bookman Old Style"/>
      <family val="1"/>
    </font>
    <font>
      <i/>
      <sz val="16"/>
      <color theme="1"/>
      <name val="Bookman Old Style"/>
      <family val="1"/>
    </font>
    <font>
      <sz val="16"/>
      <name val="Calibri"/>
      <family val="2"/>
    </font>
    <font>
      <sz val="16"/>
      <color rgb="FFFFFFFF"/>
      <name val="Bookman Old Style"/>
      <family val="1"/>
    </font>
    <font>
      <b/>
      <sz val="16"/>
      <color rgb="FFFFFFFF"/>
      <name val="Bookman Old Style"/>
      <family val="1"/>
    </font>
    <font>
      <sz val="10"/>
      <name val="Arial"/>
      <family val="2"/>
    </font>
    <font>
      <b/>
      <sz val="16"/>
      <name val="Bookman Old Style"/>
      <family val="1"/>
    </font>
    <font>
      <sz val="16"/>
      <name val="Bookman Old Style"/>
      <family val="1"/>
    </font>
    <font>
      <i/>
      <sz val="16"/>
      <color rgb="FF000000"/>
      <name val="Bookman Old Style"/>
      <family val="1"/>
    </font>
    <font>
      <b/>
      <i/>
      <u/>
      <sz val="16"/>
      <color theme="1"/>
      <name val="Bookman Old Style"/>
      <family val="1"/>
    </font>
    <font>
      <b/>
      <i/>
      <sz val="16"/>
      <color rgb="FF000000"/>
      <name val="Bookman Old Style"/>
      <family val="1"/>
    </font>
    <font>
      <b/>
      <i/>
      <sz val="16"/>
      <color rgb="FFFFFFFF"/>
      <name val="Bookman Old Style"/>
      <family val="1"/>
    </font>
    <font>
      <sz val="16"/>
      <color rgb="FFFF0000"/>
      <name val="Bookman Old Style"/>
      <family val="1"/>
    </font>
    <font>
      <sz val="10"/>
      <color theme="1"/>
      <name val="Calibri"/>
      <family val="2"/>
      <charset val="1"/>
      <scheme val="minor"/>
    </font>
    <font>
      <b/>
      <i/>
      <sz val="12"/>
      <color theme="1"/>
      <name val="Calibri"/>
      <family val="2"/>
    </font>
    <font>
      <b/>
      <i/>
      <sz val="12"/>
      <color theme="1"/>
      <name val="Calibri"/>
      <family val="2"/>
      <scheme val="minor"/>
    </font>
    <font>
      <b/>
      <sz val="20"/>
      <color theme="1"/>
      <name val="Bookman Old Style"/>
      <family val="1"/>
    </font>
    <font>
      <b/>
      <sz val="14"/>
      <color theme="1"/>
      <name val="Arial"/>
      <family val="2"/>
    </font>
    <font>
      <b/>
      <sz val="10"/>
      <color theme="1"/>
      <name val="Arial"/>
      <family val="2"/>
    </font>
    <font>
      <b/>
      <sz val="9"/>
      <color theme="1"/>
      <name val="Arial"/>
      <family val="2"/>
    </font>
    <font>
      <b/>
      <i/>
      <sz val="8"/>
      <color theme="1"/>
      <name val="Arial"/>
      <family val="2"/>
    </font>
    <font>
      <b/>
      <sz val="14"/>
      <color theme="1"/>
      <name val="Bookman Old Style"/>
      <family val="1"/>
    </font>
    <font>
      <sz val="18"/>
      <color theme="1"/>
      <name val="Bookman Old Style"/>
      <family val="1"/>
    </font>
    <font>
      <b/>
      <sz val="18"/>
      <color theme="1"/>
      <name val="Bookman Old Style"/>
      <family val="1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charset val="1"/>
      <scheme val="minor"/>
    </font>
    <font>
      <b/>
      <sz val="18"/>
      <name val="Bookman Old Style"/>
      <family val="1"/>
    </font>
    <font>
      <b/>
      <sz val="18"/>
      <color theme="1"/>
      <name val="Calibri"/>
      <family val="2"/>
      <charset val="1"/>
      <scheme val="minor"/>
    </font>
    <font>
      <sz val="18"/>
      <name val="Bookman Old Style"/>
      <family val="1"/>
    </font>
    <font>
      <sz val="14"/>
      <color theme="1"/>
      <name val="Bookman Old Style"/>
      <family val="1"/>
    </font>
    <font>
      <sz val="14"/>
      <color theme="1"/>
      <name val="Calibri"/>
      <family val="2"/>
      <charset val="1"/>
      <scheme val="minor"/>
    </font>
    <font>
      <b/>
      <i/>
      <sz val="18"/>
      <color theme="1"/>
      <name val="Bookman Old Style"/>
      <family val="1"/>
    </font>
    <font>
      <b/>
      <sz val="14"/>
      <name val="Bookman Old Style"/>
      <family val="1"/>
    </font>
    <font>
      <i/>
      <sz val="18"/>
      <color theme="1"/>
      <name val="Bookman Old Style"/>
      <family val="1"/>
    </font>
    <font>
      <sz val="14"/>
      <name val="Bookman Old Style"/>
      <family val="1"/>
    </font>
    <font>
      <sz val="18"/>
      <color theme="0"/>
      <name val="Bookman Old Style"/>
      <family val="1"/>
    </font>
    <font>
      <b/>
      <i/>
      <sz val="18"/>
      <name val="Bookman Old Style"/>
      <family val="1"/>
    </font>
    <font>
      <sz val="18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u/>
      <sz val="20"/>
      <color theme="1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rgb="FFD8D8D8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rgb="FFD8D8D8"/>
      </patternFill>
    </fill>
    <fill>
      <patternFill patternType="solid">
        <fgColor rgb="FF00B05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499984740745262"/>
        <bgColor indexed="64"/>
      </patternFill>
    </fill>
  </fills>
  <borders count="5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auto="1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auto="1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thin">
        <color auto="1"/>
      </right>
      <top style="medium">
        <color indexed="64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double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ck">
        <color auto="1"/>
      </left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double">
        <color indexed="64"/>
      </top>
      <bottom style="thin">
        <color auto="1"/>
      </bottom>
      <diagonal/>
    </border>
    <border>
      <left style="thick">
        <color auto="1"/>
      </left>
      <right/>
      <top/>
      <bottom style="thin">
        <color auto="1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indexed="64"/>
      </left>
      <right/>
      <top style="thin">
        <color auto="1"/>
      </top>
      <bottom style="thick">
        <color indexed="64"/>
      </bottom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14" fillId="0" borderId="0"/>
    <xf numFmtId="41" fontId="14" fillId="0" borderId="0" applyFont="0" applyFill="0" applyBorder="0" applyAlignment="0" applyProtection="0"/>
  </cellStyleXfs>
  <cellXfs count="535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4" fillId="0" borderId="0" xfId="0" applyFont="1" applyAlignment="1">
      <alignment wrapText="1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5" fillId="0" borderId="0" xfId="0" applyFont="1" applyAlignment="1"/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3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3" fillId="0" borderId="9" xfId="0" applyFont="1" applyBorder="1"/>
    <xf numFmtId="0" fontId="3" fillId="0" borderId="9" xfId="0" quotePrefix="1" applyFont="1" applyBorder="1"/>
    <xf numFmtId="0" fontId="3" fillId="0" borderId="9" xfId="0" applyFont="1" applyBorder="1" applyAlignment="1">
      <alignment horizontal="center"/>
    </xf>
    <xf numFmtId="0" fontId="4" fillId="0" borderId="9" xfId="0" applyFont="1" applyBorder="1" applyAlignment="1">
      <alignment wrapText="1"/>
    </xf>
    <xf numFmtId="43" fontId="3" fillId="0" borderId="9" xfId="0" applyNumberFormat="1" applyFont="1" applyBorder="1"/>
    <xf numFmtId="0" fontId="2" fillId="0" borderId="9" xfId="0" applyFont="1" applyBorder="1"/>
    <xf numFmtId="0" fontId="2" fillId="0" borderId="9" xfId="0" quotePrefix="1" applyFont="1" applyBorder="1"/>
    <xf numFmtId="43" fontId="2" fillId="0" borderId="9" xfId="0" applyNumberFormat="1" applyFont="1" applyBorder="1"/>
    <xf numFmtId="43" fontId="2" fillId="0" borderId="9" xfId="0" applyNumberFormat="1" applyFont="1" applyBorder="1" applyAlignment="1">
      <alignment horizontal="right"/>
    </xf>
    <xf numFmtId="49" fontId="2" fillId="0" borderId="9" xfId="0" applyNumberFormat="1" applyFont="1" applyBorder="1" applyAlignment="1"/>
    <xf numFmtId="0" fontId="6" fillId="0" borderId="9" xfId="0" applyFont="1" applyBorder="1"/>
    <xf numFmtId="0" fontId="7" fillId="0" borderId="9" xfId="0" applyFont="1" applyBorder="1" applyAlignment="1">
      <alignment horizontal="center"/>
    </xf>
    <xf numFmtId="0" fontId="7" fillId="0" borderId="9" xfId="0" applyFont="1" applyBorder="1" applyAlignment="1">
      <alignment wrapText="1"/>
    </xf>
    <xf numFmtId="0" fontId="3" fillId="2" borderId="9" xfId="0" quotePrefix="1" applyFont="1" applyFill="1" applyBorder="1"/>
    <xf numFmtId="0" fontId="3" fillId="2" borderId="9" xfId="0" applyFont="1" applyFill="1" applyBorder="1"/>
    <xf numFmtId="43" fontId="3" fillId="2" borderId="9" xfId="0" applyNumberFormat="1" applyFont="1" applyFill="1" applyBorder="1" applyAlignment="1">
      <alignment vertical="center"/>
    </xf>
    <xf numFmtId="0" fontId="3" fillId="2" borderId="9" xfId="0" applyFont="1" applyFill="1" applyBorder="1" applyAlignment="1">
      <alignment horizontal="center"/>
    </xf>
    <xf numFmtId="0" fontId="8" fillId="3" borderId="9" xfId="0" quotePrefix="1" applyFont="1" applyFill="1" applyBorder="1" applyAlignment="1">
      <alignment vertical="center"/>
    </xf>
    <xf numFmtId="0" fontId="8" fillId="3" borderId="9" xfId="0" applyFont="1" applyFill="1" applyBorder="1" applyAlignment="1">
      <alignment vertical="center"/>
    </xf>
    <xf numFmtId="0" fontId="8" fillId="3" borderId="9" xfId="0" applyFont="1" applyFill="1" applyBorder="1" applyAlignment="1">
      <alignment vertical="center" wrapText="1"/>
    </xf>
    <xf numFmtId="43" fontId="8" fillId="3" borderId="9" xfId="0" applyNumberFormat="1" applyFont="1" applyFill="1" applyBorder="1" applyAlignment="1">
      <alignment vertical="center"/>
    </xf>
    <xf numFmtId="0" fontId="3" fillId="3" borderId="9" xfId="0" applyFont="1" applyFill="1" applyBorder="1" applyAlignment="1">
      <alignment horizontal="center" vertical="center"/>
    </xf>
    <xf numFmtId="0" fontId="9" fillId="3" borderId="9" xfId="0" applyFont="1" applyFill="1" applyBorder="1" applyAlignment="1">
      <alignment vertical="center" wrapText="1"/>
    </xf>
    <xf numFmtId="0" fontId="3" fillId="3" borderId="9" xfId="0" quotePrefix="1" applyFont="1" applyFill="1" applyBorder="1"/>
    <xf numFmtId="0" fontId="3" fillId="3" borderId="9" xfId="0" applyFont="1" applyFill="1" applyBorder="1"/>
    <xf numFmtId="43" fontId="3" fillId="3" borderId="9" xfId="0" applyNumberFormat="1" applyFont="1" applyFill="1" applyBorder="1"/>
    <xf numFmtId="0" fontId="3" fillId="3" borderId="9" xfId="0" applyFont="1" applyFill="1" applyBorder="1" applyAlignment="1">
      <alignment horizontal="center"/>
    </xf>
    <xf numFmtId="0" fontId="4" fillId="3" borderId="9" xfId="0" applyFont="1" applyFill="1" applyBorder="1" applyAlignment="1">
      <alignment wrapText="1"/>
    </xf>
    <xf numFmtId="0" fontId="10" fillId="0" borderId="9" xfId="0" quotePrefix="1" applyFont="1" applyBorder="1"/>
    <xf numFmtId="0" fontId="10" fillId="0" borderId="9" xfId="0" applyFont="1" applyBorder="1"/>
    <xf numFmtId="43" fontId="10" fillId="0" borderId="9" xfId="0" applyNumberFormat="1" applyFont="1" applyBorder="1"/>
    <xf numFmtId="0" fontId="9" fillId="0" borderId="3" xfId="0" applyFont="1" applyBorder="1" applyAlignment="1">
      <alignment horizontal="center" vertical="top" wrapText="1"/>
    </xf>
    <xf numFmtId="0" fontId="11" fillId="0" borderId="10" xfId="0" applyFont="1" applyBorder="1"/>
    <xf numFmtId="43" fontId="2" fillId="0" borderId="9" xfId="0" applyNumberFormat="1" applyFont="1" applyBorder="1" applyAlignment="1"/>
    <xf numFmtId="164" fontId="9" fillId="0" borderId="8" xfId="0" applyNumberFormat="1" applyFont="1" applyBorder="1" applyAlignment="1">
      <alignment vertical="top" wrapText="1"/>
    </xf>
    <xf numFmtId="0" fontId="9" fillId="0" borderId="9" xfId="0" applyFont="1" applyBorder="1" applyAlignment="1">
      <alignment wrapText="1"/>
    </xf>
    <xf numFmtId="0" fontId="3" fillId="0" borderId="9" xfId="0" quotePrefix="1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 wrapText="1"/>
    </xf>
    <xf numFmtId="43" fontId="3" fillId="0" borderId="9" xfId="0" applyNumberFormat="1" applyFont="1" applyBorder="1" applyAlignment="1">
      <alignment vertical="center"/>
    </xf>
    <xf numFmtId="0" fontId="3" fillId="0" borderId="9" xfId="0" applyFont="1" applyBorder="1" applyAlignment="1">
      <alignment horizontal="center" vertical="center"/>
    </xf>
    <xf numFmtId="4" fontId="3" fillId="0" borderId="9" xfId="0" applyNumberFormat="1" applyFont="1" applyBorder="1"/>
    <xf numFmtId="0" fontId="3" fillId="0" borderId="9" xfId="0" applyFont="1" applyBorder="1" applyAlignment="1">
      <alignment wrapText="1"/>
    </xf>
    <xf numFmtId="4" fontId="2" fillId="0" borderId="9" xfId="0" applyNumberFormat="1" applyFont="1" applyBorder="1"/>
    <xf numFmtId="0" fontId="8" fillId="0" borderId="9" xfId="0" applyFont="1" applyBorder="1"/>
    <xf numFmtId="4" fontId="10" fillId="0" borderId="9" xfId="0" applyNumberFormat="1" applyFont="1" applyBorder="1"/>
    <xf numFmtId="4" fontId="2" fillId="0" borderId="9" xfId="0" applyNumberFormat="1" applyFont="1" applyBorder="1" applyAlignment="1"/>
    <xf numFmtId="0" fontId="2" fillId="3" borderId="9" xfId="0" applyFont="1" applyFill="1" applyBorder="1"/>
    <xf numFmtId="0" fontId="2" fillId="3" borderId="9" xfId="0" quotePrefix="1" applyFont="1" applyFill="1" applyBorder="1"/>
    <xf numFmtId="4" fontId="2" fillId="3" borderId="9" xfId="0" applyNumberFormat="1" applyFont="1" applyFill="1" applyBorder="1"/>
    <xf numFmtId="0" fontId="2" fillId="0" borderId="9" xfId="0" applyFont="1" applyBorder="1" applyAlignment="1">
      <alignment horizontal="left" vertical="center"/>
    </xf>
    <xf numFmtId="0" fontId="2" fillId="0" borderId="9" xfId="0" quotePrefix="1" applyFont="1" applyBorder="1" applyAlignment="1">
      <alignment horizontal="left" vertical="center"/>
    </xf>
    <xf numFmtId="4" fontId="2" fillId="0" borderId="9" xfId="0" applyNumberFormat="1" applyFont="1" applyBorder="1" applyAlignment="1">
      <alignment horizontal="right" vertical="center"/>
    </xf>
    <xf numFmtId="0" fontId="4" fillId="0" borderId="9" xfId="0" applyFont="1" applyBorder="1" applyAlignment="1">
      <alignment horizontal="left" vertical="center" wrapText="1"/>
    </xf>
    <xf numFmtId="0" fontId="6" fillId="0" borderId="9" xfId="0" quotePrefix="1" applyFont="1" applyBorder="1"/>
    <xf numFmtId="4" fontId="6" fillId="0" borderId="9" xfId="0" applyNumberFormat="1" applyFont="1" applyBorder="1"/>
    <xf numFmtId="4" fontId="8" fillId="0" borderId="9" xfId="0" applyNumberFormat="1" applyFont="1" applyBorder="1"/>
    <xf numFmtId="43" fontId="3" fillId="0" borderId="9" xfId="0" applyNumberFormat="1" applyFont="1" applyBorder="1" applyAlignment="1">
      <alignment horizontal="center"/>
    </xf>
    <xf numFmtId="0" fontId="12" fillId="0" borderId="9" xfId="0" applyFont="1" applyBorder="1"/>
    <xf numFmtId="0" fontId="12" fillId="0" borderId="9" xfId="0" quotePrefix="1" applyFont="1" applyBorder="1"/>
    <xf numFmtId="4" fontId="12" fillId="0" borderId="9" xfId="0" applyNumberFormat="1" applyFont="1" applyBorder="1"/>
    <xf numFmtId="0" fontId="13" fillId="0" borderId="9" xfId="0" applyFont="1" applyBorder="1" applyAlignment="1">
      <alignment horizontal="center"/>
    </xf>
    <xf numFmtId="0" fontId="13" fillId="0" borderId="9" xfId="0" applyFont="1" applyBorder="1" applyAlignment="1">
      <alignment wrapText="1"/>
    </xf>
    <xf numFmtId="0" fontId="2" fillId="3" borderId="9" xfId="0" applyFont="1" applyFill="1" applyBorder="1" applyAlignment="1"/>
    <xf numFmtId="4" fontId="2" fillId="3" borderId="9" xfId="0" applyNumberFormat="1" applyFont="1" applyFill="1" applyBorder="1" applyAlignment="1"/>
    <xf numFmtId="0" fontId="8" fillId="3" borderId="9" xfId="0" applyFont="1" applyFill="1" applyBorder="1"/>
    <xf numFmtId="4" fontId="3" fillId="3" borderId="9" xfId="0" applyNumberFormat="1" applyFont="1" applyFill="1" applyBorder="1"/>
    <xf numFmtId="0" fontId="8" fillId="0" borderId="9" xfId="0" quotePrefix="1" applyFont="1" applyBorder="1"/>
    <xf numFmtId="0" fontId="2" fillId="0" borderId="9" xfId="0" quotePrefix="1" applyFont="1" applyBorder="1" applyAlignment="1"/>
    <xf numFmtId="0" fontId="2" fillId="0" borderId="9" xfId="0" applyFont="1" applyBorder="1" applyAlignment="1"/>
    <xf numFmtId="0" fontId="10" fillId="3" borderId="9" xfId="0" applyFont="1" applyFill="1" applyBorder="1"/>
    <xf numFmtId="0" fontId="10" fillId="3" borderId="9" xfId="0" quotePrefix="1" applyFont="1" applyFill="1" applyBorder="1"/>
    <xf numFmtId="4" fontId="8" fillId="3" borderId="9" xfId="0" applyNumberFormat="1" applyFont="1" applyFill="1" applyBorder="1"/>
    <xf numFmtId="0" fontId="9" fillId="3" borderId="9" xfId="0" applyFont="1" applyFill="1" applyBorder="1" applyAlignment="1">
      <alignment wrapText="1"/>
    </xf>
    <xf numFmtId="0" fontId="2" fillId="4" borderId="9" xfId="0" applyFont="1" applyFill="1" applyBorder="1"/>
    <xf numFmtId="0" fontId="2" fillId="4" borderId="9" xfId="0" quotePrefix="1" applyFont="1" applyFill="1" applyBorder="1"/>
    <xf numFmtId="43" fontId="2" fillId="4" borderId="9" xfId="0" applyNumberFormat="1" applyFont="1" applyFill="1" applyBorder="1"/>
    <xf numFmtId="0" fontId="3" fillId="4" borderId="9" xfId="0" applyFont="1" applyFill="1" applyBorder="1" applyAlignment="1">
      <alignment horizontal="center"/>
    </xf>
    <xf numFmtId="0" fontId="4" fillId="4" borderId="9" xfId="0" applyFont="1" applyFill="1" applyBorder="1" applyAlignment="1">
      <alignment wrapText="1"/>
    </xf>
    <xf numFmtId="0" fontId="3" fillId="5" borderId="9" xfId="0" quotePrefix="1" applyFont="1" applyFill="1" applyBorder="1"/>
    <xf numFmtId="0" fontId="3" fillId="5" borderId="9" xfId="0" applyFont="1" applyFill="1" applyBorder="1"/>
    <xf numFmtId="43" fontId="3" fillId="5" borderId="9" xfId="0" applyNumberFormat="1" applyFont="1" applyFill="1" applyBorder="1"/>
    <xf numFmtId="0" fontId="3" fillId="5" borderId="9" xfId="0" applyFont="1" applyFill="1" applyBorder="1" applyAlignment="1">
      <alignment horizontal="center"/>
    </xf>
    <xf numFmtId="0" fontId="4" fillId="5" borderId="9" xfId="0" applyFont="1" applyFill="1" applyBorder="1" applyAlignment="1">
      <alignment wrapText="1"/>
    </xf>
    <xf numFmtId="0" fontId="3" fillId="6" borderId="9" xfId="0" quotePrefix="1" applyFont="1" applyFill="1" applyBorder="1" applyAlignment="1">
      <alignment vertical="center"/>
    </xf>
    <xf numFmtId="0" fontId="3" fillId="6" borderId="9" xfId="0" applyFont="1" applyFill="1" applyBorder="1" applyAlignment="1">
      <alignment vertical="center"/>
    </xf>
    <xf numFmtId="43" fontId="3" fillId="6" borderId="9" xfId="0" applyNumberFormat="1" applyFont="1" applyFill="1" applyBorder="1" applyAlignment="1">
      <alignment vertical="center"/>
    </xf>
    <xf numFmtId="0" fontId="3" fillId="6" borderId="9" xfId="0" applyFont="1" applyFill="1" applyBorder="1" applyAlignment="1">
      <alignment horizontal="center" vertical="center"/>
    </xf>
    <xf numFmtId="0" fontId="4" fillId="6" borderId="9" xfId="0" applyFont="1" applyFill="1" applyBorder="1" applyAlignment="1">
      <alignment vertical="center" wrapText="1"/>
    </xf>
    <xf numFmtId="0" fontId="2" fillId="0" borderId="11" xfId="0" applyFont="1" applyBorder="1" applyAlignment="1"/>
    <xf numFmtId="0" fontId="3" fillId="7" borderId="9" xfId="0" quotePrefix="1" applyFont="1" applyFill="1" applyBorder="1" applyAlignment="1">
      <alignment vertical="center"/>
    </xf>
    <xf numFmtId="0" fontId="3" fillId="7" borderId="9" xfId="0" applyFont="1" applyFill="1" applyBorder="1" applyAlignment="1">
      <alignment vertical="center"/>
    </xf>
    <xf numFmtId="0" fontId="3" fillId="7" borderId="9" xfId="0" applyFont="1" applyFill="1" applyBorder="1" applyAlignment="1">
      <alignment vertical="center" wrapText="1"/>
    </xf>
    <xf numFmtId="43" fontId="3" fillId="7" borderId="9" xfId="0" applyNumberFormat="1" applyFont="1" applyFill="1" applyBorder="1" applyAlignment="1">
      <alignment vertical="center"/>
    </xf>
    <xf numFmtId="0" fontId="3" fillId="7" borderId="9" xfId="0" applyFont="1" applyFill="1" applyBorder="1" applyAlignment="1">
      <alignment horizontal="center"/>
    </xf>
    <xf numFmtId="0" fontId="4" fillId="7" borderId="9" xfId="0" applyFont="1" applyFill="1" applyBorder="1" applyAlignment="1">
      <alignment wrapText="1"/>
    </xf>
    <xf numFmtId="0" fontId="3" fillId="0" borderId="9" xfId="0" quotePrefix="1" applyFont="1" applyBorder="1" applyAlignment="1">
      <alignment wrapText="1"/>
    </xf>
    <xf numFmtId="0" fontId="3" fillId="0" borderId="4" xfId="0" applyFont="1" applyBorder="1"/>
    <xf numFmtId="0" fontId="2" fillId="0" borderId="9" xfId="0" applyFont="1" applyBorder="1" applyAlignment="1">
      <alignment horizontal="left"/>
    </xf>
    <xf numFmtId="0" fontId="3" fillId="0" borderId="9" xfId="0" applyFont="1" applyBorder="1" applyAlignment="1">
      <alignment horizontal="left"/>
    </xf>
    <xf numFmtId="0" fontId="2" fillId="0" borderId="4" xfId="0" applyFont="1" applyBorder="1"/>
    <xf numFmtId="0" fontId="3" fillId="0" borderId="9" xfId="0" quotePrefix="1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3" fillId="0" borderId="9" xfId="0" applyFont="1" applyBorder="1" applyAlignment="1">
      <alignment vertical="center" wrapText="1"/>
    </xf>
    <xf numFmtId="0" fontId="4" fillId="0" borderId="9" xfId="0" applyFont="1" applyBorder="1" applyAlignment="1">
      <alignment vertical="center" wrapText="1"/>
    </xf>
    <xf numFmtId="0" fontId="3" fillId="0" borderId="9" xfId="0" applyFont="1" applyBorder="1" applyAlignment="1"/>
    <xf numFmtId="0" fontId="10" fillId="0" borderId="4" xfId="0" applyFont="1" applyBorder="1"/>
    <xf numFmtId="0" fontId="10" fillId="0" borderId="9" xfId="0" quotePrefix="1" applyFont="1" applyBorder="1" applyAlignment="1">
      <alignment horizontal="left"/>
    </xf>
    <xf numFmtId="0" fontId="2" fillId="0" borderId="9" xfId="0" quotePrefix="1" applyFont="1" applyBorder="1" applyAlignment="1">
      <alignment horizontal="left"/>
    </xf>
    <xf numFmtId="0" fontId="8" fillId="7" borderId="9" xfId="0" quotePrefix="1" applyFont="1" applyFill="1" applyBorder="1"/>
    <xf numFmtId="0" fontId="8" fillId="7" borderId="9" xfId="0" applyFont="1" applyFill="1" applyBorder="1"/>
    <xf numFmtId="43" fontId="8" fillId="7" borderId="9" xfId="0" applyNumberFormat="1" applyFont="1" applyFill="1" applyBorder="1"/>
    <xf numFmtId="0" fontId="9" fillId="7" borderId="9" xfId="0" applyFont="1" applyFill="1" applyBorder="1" applyAlignment="1">
      <alignment wrapText="1"/>
    </xf>
    <xf numFmtId="0" fontId="3" fillId="7" borderId="9" xfId="0" quotePrefix="1" applyFont="1" applyFill="1" applyBorder="1"/>
    <xf numFmtId="0" fontId="3" fillId="7" borderId="9" xfId="0" applyFont="1" applyFill="1" applyBorder="1"/>
    <xf numFmtId="43" fontId="3" fillId="7" borderId="9" xfId="0" applyNumberFormat="1" applyFont="1" applyFill="1" applyBorder="1"/>
    <xf numFmtId="43" fontId="2" fillId="0" borderId="9" xfId="0" applyNumberFormat="1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2" fillId="0" borderId="9" xfId="0" quotePrefix="1" applyFont="1" applyBorder="1" applyAlignment="1">
      <alignment vertical="center"/>
    </xf>
    <xf numFmtId="43" fontId="2" fillId="0" borderId="9" xfId="0" applyNumberFormat="1" applyFont="1" applyBorder="1" applyAlignment="1">
      <alignment horizontal="right" vertical="center"/>
    </xf>
    <xf numFmtId="0" fontId="8" fillId="7" borderId="9" xfId="0" applyFont="1" applyFill="1" applyBorder="1" applyAlignment="1">
      <alignment wrapText="1"/>
    </xf>
    <xf numFmtId="43" fontId="8" fillId="7" borderId="9" xfId="0" applyNumberFormat="1" applyFont="1" applyFill="1" applyBorder="1" applyAlignment="1">
      <alignment vertical="center"/>
    </xf>
    <xf numFmtId="0" fontId="4" fillId="0" borderId="9" xfId="0" applyFont="1" applyBorder="1" applyAlignment="1">
      <alignment vertical="top"/>
    </xf>
    <xf numFmtId="0" fontId="8" fillId="6" borderId="9" xfId="0" quotePrefix="1" applyFont="1" applyFill="1" applyBorder="1"/>
    <xf numFmtId="0" fontId="8" fillId="6" borderId="9" xfId="0" applyFont="1" applyFill="1" applyBorder="1"/>
    <xf numFmtId="0" fontId="8" fillId="6" borderId="9" xfId="0" applyFont="1" applyFill="1" applyBorder="1" applyAlignment="1">
      <alignment horizontal="left" vertical="center" wrapText="1"/>
    </xf>
    <xf numFmtId="43" fontId="8" fillId="6" borderId="9" xfId="0" applyNumberFormat="1" applyFont="1" applyFill="1" applyBorder="1" applyAlignment="1">
      <alignment vertical="center"/>
    </xf>
    <xf numFmtId="0" fontId="3" fillId="6" borderId="9" xfId="0" applyFont="1" applyFill="1" applyBorder="1" applyAlignment="1">
      <alignment horizontal="center"/>
    </xf>
    <xf numFmtId="0" fontId="9" fillId="6" borderId="9" xfId="0" applyFont="1" applyFill="1" applyBorder="1" applyAlignment="1">
      <alignment wrapText="1"/>
    </xf>
    <xf numFmtId="0" fontId="3" fillId="3" borderId="9" xfId="0" applyFont="1" applyFill="1" applyBorder="1" applyAlignment="1">
      <alignment horizontal="left"/>
    </xf>
    <xf numFmtId="0" fontId="15" fillId="3" borderId="12" xfId="2" applyFont="1" applyFill="1" applyBorder="1" applyAlignment="1">
      <alignment horizontal="left" vertical="center" wrapText="1"/>
    </xf>
    <xf numFmtId="43" fontId="2" fillId="3" borderId="9" xfId="0" applyNumberFormat="1" applyFont="1" applyFill="1" applyBorder="1"/>
    <xf numFmtId="0" fontId="2" fillId="3" borderId="12" xfId="0" applyFont="1" applyFill="1" applyBorder="1" applyAlignment="1">
      <alignment vertical="center" wrapText="1"/>
    </xf>
    <xf numFmtId="0" fontId="2" fillId="3" borderId="12" xfId="0" applyFont="1" applyFill="1" applyBorder="1" applyAlignment="1">
      <alignment vertical="top" wrapText="1"/>
    </xf>
    <xf numFmtId="0" fontId="2" fillId="3" borderId="0" xfId="0" applyFont="1" applyFill="1" applyBorder="1" applyAlignment="1">
      <alignment vertical="center" wrapText="1"/>
    </xf>
    <xf numFmtId="0" fontId="3" fillId="5" borderId="9" xfId="0" applyFont="1" applyFill="1" applyBorder="1" applyAlignment="1">
      <alignment horizontal="left"/>
    </xf>
    <xf numFmtId="0" fontId="2" fillId="5" borderId="9" xfId="0" quotePrefix="1" applyFont="1" applyFill="1" applyBorder="1"/>
    <xf numFmtId="0" fontId="15" fillId="5" borderId="12" xfId="2" applyFont="1" applyFill="1" applyBorder="1" applyAlignment="1">
      <alignment horizontal="left" vertical="center" wrapText="1"/>
    </xf>
    <xf numFmtId="43" fontId="2" fillId="5" borderId="9" xfId="0" applyNumberFormat="1" applyFont="1" applyFill="1" applyBorder="1"/>
    <xf numFmtId="0" fontId="16" fillId="0" borderId="12" xfId="2" applyFont="1" applyBorder="1" applyAlignment="1">
      <alignment horizontal="left" vertical="center"/>
    </xf>
    <xf numFmtId="0" fontId="3" fillId="8" borderId="9" xfId="0" quotePrefix="1" applyFont="1" applyFill="1" applyBorder="1"/>
    <xf numFmtId="0" fontId="3" fillId="8" borderId="9" xfId="0" applyFont="1" applyFill="1" applyBorder="1"/>
    <xf numFmtId="0" fontId="3" fillId="8" borderId="9" xfId="0" applyFont="1" applyFill="1" applyBorder="1" applyAlignment="1">
      <alignment vertical="center"/>
    </xf>
    <xf numFmtId="43" fontId="3" fillId="8" borderId="9" xfId="0" applyNumberFormat="1" applyFont="1" applyFill="1" applyBorder="1"/>
    <xf numFmtId="0" fontId="3" fillId="8" borderId="9" xfId="0" applyFont="1" applyFill="1" applyBorder="1" applyAlignment="1">
      <alignment horizontal="center"/>
    </xf>
    <xf numFmtId="43" fontId="8" fillId="0" borderId="9" xfId="0" applyNumberFormat="1" applyFont="1" applyBorder="1"/>
    <xf numFmtId="0" fontId="8" fillId="0" borderId="9" xfId="0" applyFont="1" applyBorder="1" applyAlignment="1">
      <alignment horizontal="center"/>
    </xf>
    <xf numFmtId="0" fontId="2" fillId="9" borderId="9" xfId="0" applyFont="1" applyFill="1" applyBorder="1"/>
    <xf numFmtId="0" fontId="2" fillId="9" borderId="9" xfId="0" quotePrefix="1" applyFont="1" applyFill="1" applyBorder="1"/>
    <xf numFmtId="43" fontId="2" fillId="9" borderId="9" xfId="0" applyNumberFormat="1" applyFont="1" applyFill="1" applyBorder="1"/>
    <xf numFmtId="0" fontId="3" fillId="9" borderId="9" xfId="0" applyFont="1" applyFill="1" applyBorder="1" applyAlignment="1">
      <alignment horizontal="center"/>
    </xf>
    <xf numFmtId="0" fontId="4" fillId="9" borderId="9" xfId="0" applyFont="1" applyFill="1" applyBorder="1" applyAlignment="1">
      <alignment wrapText="1"/>
    </xf>
    <xf numFmtId="0" fontId="2" fillId="0" borderId="9" xfId="0" applyFont="1" applyBorder="1" applyAlignment="1">
      <alignment wrapText="1"/>
    </xf>
    <xf numFmtId="43" fontId="6" fillId="0" borderId="9" xfId="0" applyNumberFormat="1" applyFont="1" applyBorder="1"/>
    <xf numFmtId="0" fontId="7" fillId="0" borderId="9" xfId="0" applyFont="1" applyBorder="1" applyAlignment="1">
      <alignment horizontal="center" vertical="center"/>
    </xf>
    <xf numFmtId="0" fontId="17" fillId="0" borderId="9" xfId="0" quotePrefix="1" applyFont="1" applyBorder="1"/>
    <xf numFmtId="0" fontId="17" fillId="0" borderId="9" xfId="0" applyFont="1" applyBorder="1"/>
    <xf numFmtId="0" fontId="3" fillId="7" borderId="9" xfId="0" applyFont="1" applyFill="1" applyBorder="1" applyAlignment="1">
      <alignment horizontal="center" vertical="center"/>
    </xf>
    <xf numFmtId="0" fontId="18" fillId="0" borderId="0" xfId="0" quotePrefix="1" applyFont="1" applyAlignment="1">
      <alignment vertical="center"/>
    </xf>
    <xf numFmtId="0" fontId="7" fillId="0" borderId="9" xfId="0" quotePrefix="1" applyFont="1" applyBorder="1"/>
    <xf numFmtId="0" fontId="7" fillId="0" borderId="9" xfId="0" applyFont="1" applyBorder="1"/>
    <xf numFmtId="43" fontId="7" fillId="0" borderId="9" xfId="0" applyNumberFormat="1" applyFont="1" applyBorder="1"/>
    <xf numFmtId="43" fontId="6" fillId="0" borderId="9" xfId="0" applyNumberFormat="1" applyFont="1" applyBorder="1" applyAlignment="1"/>
    <xf numFmtId="43" fontId="17" fillId="0" borderId="9" xfId="0" applyNumberFormat="1" applyFont="1" applyBorder="1"/>
    <xf numFmtId="0" fontId="19" fillId="0" borderId="9" xfId="0" applyFont="1" applyBorder="1" applyAlignment="1">
      <alignment wrapText="1"/>
    </xf>
    <xf numFmtId="0" fontId="3" fillId="7" borderId="9" xfId="0" applyFont="1" applyFill="1" applyBorder="1" applyAlignment="1">
      <alignment horizontal="left"/>
    </xf>
    <xf numFmtId="0" fontId="2" fillId="7" borderId="9" xfId="0" applyFont="1" applyFill="1" applyBorder="1"/>
    <xf numFmtId="0" fontId="3" fillId="7" borderId="9" xfId="0" quotePrefix="1" applyFont="1" applyFill="1" applyBorder="1" applyAlignment="1"/>
    <xf numFmtId="0" fontId="3" fillId="7" borderId="9" xfId="0" applyFont="1" applyFill="1" applyBorder="1" applyAlignment="1"/>
    <xf numFmtId="43" fontId="3" fillId="7" borderId="9" xfId="0" applyNumberFormat="1" applyFont="1" applyFill="1" applyBorder="1" applyAlignment="1"/>
    <xf numFmtId="43" fontId="2" fillId="7" borderId="9" xfId="0" applyNumberFormat="1" applyFont="1" applyFill="1" applyBorder="1" applyAlignment="1"/>
    <xf numFmtId="0" fontId="9" fillId="0" borderId="9" xfId="0" applyFont="1" applyBorder="1"/>
    <xf numFmtId="43" fontId="3" fillId="0" borderId="9" xfId="0" applyNumberFormat="1" applyFont="1" applyBorder="1" applyAlignment="1"/>
    <xf numFmtId="0" fontId="3" fillId="2" borderId="9" xfId="0" quotePrefix="1" applyFont="1" applyFill="1" applyBorder="1" applyAlignment="1">
      <alignment vertical="center"/>
    </xf>
    <xf numFmtId="0" fontId="3" fillId="2" borderId="9" xfId="0" applyFont="1" applyFill="1" applyBorder="1" applyAlignment="1">
      <alignment vertical="center"/>
    </xf>
    <xf numFmtId="0" fontId="3" fillId="3" borderId="12" xfId="0" applyFont="1" applyFill="1" applyBorder="1" applyAlignment="1">
      <alignment vertical="center" wrapText="1"/>
    </xf>
    <xf numFmtId="43" fontId="2" fillId="9" borderId="9" xfId="0" applyNumberFormat="1" applyFont="1" applyFill="1" applyBorder="1" applyAlignment="1">
      <alignment vertical="center"/>
    </xf>
    <xf numFmtId="0" fontId="2" fillId="9" borderId="9" xfId="0" applyFont="1" applyFill="1" applyBorder="1" applyAlignment="1">
      <alignment wrapText="1"/>
    </xf>
    <xf numFmtId="0" fontId="2" fillId="9" borderId="9" xfId="0" applyFont="1" applyFill="1" applyBorder="1" applyAlignment="1"/>
    <xf numFmtId="43" fontId="2" fillId="9" borderId="9" xfId="0" applyNumberFormat="1" applyFont="1" applyFill="1" applyBorder="1" applyAlignment="1"/>
    <xf numFmtId="0" fontId="4" fillId="7" borderId="9" xfId="0" applyFont="1" applyFill="1" applyBorder="1" applyAlignment="1">
      <alignment vertical="center" wrapText="1"/>
    </xf>
    <xf numFmtId="0" fontId="8" fillId="0" borderId="9" xfId="0" quotePrefix="1" applyFont="1" applyBorder="1" applyAlignment="1">
      <alignment horizontal="left" vertical="center"/>
    </xf>
    <xf numFmtId="0" fontId="2" fillId="3" borderId="12" xfId="0" applyFont="1" applyFill="1" applyBorder="1" applyAlignment="1">
      <alignment horizontal="left" vertical="center" wrapText="1"/>
    </xf>
    <xf numFmtId="43" fontId="8" fillId="0" borderId="9" xfId="0" applyNumberFormat="1" applyFont="1" applyBorder="1" applyAlignment="1">
      <alignment vertical="center"/>
    </xf>
    <xf numFmtId="0" fontId="10" fillId="0" borderId="9" xfId="0" quotePrefix="1" applyFont="1" applyBorder="1" applyAlignment="1">
      <alignment vertical="center"/>
    </xf>
    <xf numFmtId="0" fontId="12" fillId="0" borderId="9" xfId="0" quotePrefix="1" applyFont="1" applyBorder="1" applyAlignment="1">
      <alignment vertical="center"/>
    </xf>
    <xf numFmtId="43" fontId="12" fillId="0" borderId="9" xfId="0" applyNumberFormat="1" applyFont="1" applyBorder="1" applyAlignment="1">
      <alignment vertical="center"/>
    </xf>
    <xf numFmtId="0" fontId="20" fillId="0" borderId="9" xfId="0" applyFont="1" applyBorder="1" applyAlignment="1">
      <alignment wrapText="1"/>
    </xf>
    <xf numFmtId="0" fontId="10" fillId="0" borderId="9" xfId="0" applyFont="1" applyBorder="1" applyAlignment="1">
      <alignment vertical="center"/>
    </xf>
    <xf numFmtId="43" fontId="10" fillId="0" borderId="9" xfId="0" applyNumberFormat="1" applyFont="1" applyBorder="1" applyAlignment="1">
      <alignment vertical="center"/>
    </xf>
    <xf numFmtId="0" fontId="10" fillId="0" borderId="9" xfId="0" quotePrefix="1" applyFont="1" applyBorder="1" applyAlignment="1">
      <alignment horizontal="left" vertical="center"/>
    </xf>
    <xf numFmtId="0" fontId="3" fillId="0" borderId="3" xfId="0" quotePrefix="1" applyFont="1" applyBorder="1" applyAlignment="1">
      <alignment horizontal="center" vertical="center"/>
    </xf>
    <xf numFmtId="0" fontId="3" fillId="0" borderId="3" xfId="0" applyFont="1" applyBorder="1" applyAlignment="1">
      <alignment horizontal="left" vertical="center"/>
    </xf>
    <xf numFmtId="43" fontId="3" fillId="0" borderId="3" xfId="0" applyNumberFormat="1" applyFont="1" applyBorder="1" applyAlignment="1">
      <alignment horizontal="center" vertical="center"/>
    </xf>
    <xf numFmtId="43" fontId="3" fillId="0" borderId="3" xfId="0" applyNumberFormat="1" applyFont="1" applyBorder="1" applyAlignment="1">
      <alignment horizontal="center" vertical="center"/>
    </xf>
    <xf numFmtId="0" fontId="3" fillId="0" borderId="8" xfId="0" quotePrefix="1" applyFont="1" applyBorder="1" applyAlignment="1">
      <alignment horizontal="center" vertical="center"/>
    </xf>
    <xf numFmtId="0" fontId="3" fillId="0" borderId="13" xfId="0" applyFont="1" applyBorder="1" applyAlignment="1">
      <alignment horizontal="left" vertical="center"/>
    </xf>
    <xf numFmtId="43" fontId="3" fillId="0" borderId="8" xfId="0" applyNumberFormat="1" applyFont="1" applyBorder="1" applyAlignment="1">
      <alignment horizontal="center" vertical="center"/>
    </xf>
    <xf numFmtId="43" fontId="3" fillId="0" borderId="8" xfId="0" applyNumberFormat="1" applyFont="1" applyBorder="1" applyAlignment="1">
      <alignment horizontal="center" vertical="center"/>
    </xf>
    <xf numFmtId="0" fontId="10" fillId="0" borderId="9" xfId="0" quotePrefix="1" applyFont="1" applyBorder="1" applyAlignment="1"/>
    <xf numFmtId="4" fontId="2" fillId="0" borderId="0" xfId="0" applyNumberFormat="1" applyFont="1" applyAlignment="1"/>
    <xf numFmtId="0" fontId="2" fillId="0" borderId="14" xfId="0" quotePrefix="1" applyFont="1" applyBorder="1" applyAlignment="1">
      <alignment horizontal="left"/>
    </xf>
    <xf numFmtId="0" fontId="3" fillId="10" borderId="9" xfId="0" quotePrefix="1" applyFont="1" applyFill="1" applyBorder="1" applyAlignment="1">
      <alignment vertical="center"/>
    </xf>
    <xf numFmtId="0" fontId="3" fillId="10" borderId="9" xfId="0" applyFont="1" applyFill="1" applyBorder="1" applyAlignment="1">
      <alignment vertical="center"/>
    </xf>
    <xf numFmtId="43" fontId="3" fillId="10" borderId="9" xfId="0" applyNumberFormat="1" applyFont="1" applyFill="1" applyBorder="1" applyAlignment="1">
      <alignment vertical="center"/>
    </xf>
    <xf numFmtId="0" fontId="3" fillId="10" borderId="9" xfId="0" applyFont="1" applyFill="1" applyBorder="1" applyAlignment="1">
      <alignment horizontal="center" vertical="center"/>
    </xf>
    <xf numFmtId="0" fontId="3" fillId="10" borderId="9" xfId="0" quotePrefix="1" applyFont="1" applyFill="1" applyBorder="1" applyAlignment="1">
      <alignment horizontal="center" vertical="center"/>
    </xf>
    <xf numFmtId="0" fontId="2" fillId="10" borderId="9" xfId="0" applyFont="1" applyFill="1" applyBorder="1" applyAlignment="1">
      <alignment vertical="center"/>
    </xf>
    <xf numFmtId="0" fontId="4" fillId="3" borderId="9" xfId="0" applyFont="1" applyFill="1" applyBorder="1" applyAlignment="1">
      <alignment vertical="center" wrapText="1"/>
    </xf>
    <xf numFmtId="0" fontId="2" fillId="10" borderId="9" xfId="0" applyFont="1" applyFill="1" applyBorder="1" applyAlignment="1">
      <alignment horizontal="left" vertical="center"/>
    </xf>
    <xf numFmtId="43" fontId="2" fillId="10" borderId="9" xfId="0" applyNumberFormat="1" applyFont="1" applyFill="1" applyBorder="1" applyAlignment="1">
      <alignment vertical="center"/>
    </xf>
    <xf numFmtId="0" fontId="2" fillId="10" borderId="9" xfId="0" applyFont="1" applyFill="1" applyBorder="1" applyAlignment="1">
      <alignment horizontal="left" vertical="center" wrapText="1"/>
    </xf>
    <xf numFmtId="0" fontId="21" fillId="0" borderId="9" xfId="0" applyFont="1" applyBorder="1" applyAlignment="1">
      <alignment wrapText="1"/>
    </xf>
    <xf numFmtId="0" fontId="2" fillId="0" borderId="9" xfId="0" applyFont="1" applyBorder="1" applyAlignment="1">
      <alignment horizontal="center"/>
    </xf>
    <xf numFmtId="4" fontId="2" fillId="0" borderId="9" xfId="0" applyNumberFormat="1" applyFont="1" applyBorder="1" applyAlignment="1">
      <alignment horizontal="center"/>
    </xf>
    <xf numFmtId="165" fontId="3" fillId="9" borderId="9" xfId="0" applyNumberFormat="1" applyFont="1" applyFill="1" applyBorder="1" applyAlignment="1">
      <alignment horizontal="left"/>
    </xf>
    <xf numFmtId="0" fontId="3" fillId="9" borderId="9" xfId="0" applyFont="1" applyFill="1" applyBorder="1"/>
    <xf numFmtId="43" fontId="3" fillId="9" borderId="9" xfId="0" applyNumberFormat="1" applyFont="1" applyFill="1" applyBorder="1"/>
    <xf numFmtId="164" fontId="3" fillId="9" borderId="9" xfId="0" applyNumberFormat="1" applyFont="1" applyFill="1" applyBorder="1" applyAlignment="1">
      <alignment horizontal="center"/>
    </xf>
    <xf numFmtId="43" fontId="3" fillId="9" borderId="9" xfId="0" applyNumberFormat="1" applyFont="1" applyFill="1" applyBorder="1" applyAlignment="1">
      <alignment horizontal="center" vertical="center"/>
    </xf>
    <xf numFmtId="43" fontId="3" fillId="9" borderId="9" xfId="0" applyNumberFormat="1" applyFont="1" applyFill="1" applyBorder="1" applyAlignment="1">
      <alignment horizontal="center" vertical="top"/>
    </xf>
    <xf numFmtId="43" fontId="3" fillId="9" borderId="9" xfId="0" applyNumberFormat="1" applyFont="1" applyFill="1" applyBorder="1" applyAlignment="1">
      <alignment vertical="top"/>
    </xf>
    <xf numFmtId="0" fontId="10" fillId="0" borderId="9" xfId="0" applyFont="1" applyBorder="1" applyAlignment="1"/>
    <xf numFmtId="43" fontId="8" fillId="9" borderId="9" xfId="0" applyNumberFormat="1" applyFont="1" applyFill="1" applyBorder="1"/>
    <xf numFmtId="0" fontId="2" fillId="9" borderId="9" xfId="0" quotePrefix="1" applyFont="1" applyFill="1" applyBorder="1" applyAlignment="1"/>
    <xf numFmtId="0" fontId="10" fillId="9" borderId="9" xfId="0" quotePrefix="1" applyFont="1" applyFill="1" applyBorder="1" applyAlignment="1"/>
    <xf numFmtId="0" fontId="10" fillId="9" borderId="9" xfId="0" applyFont="1" applyFill="1" applyBorder="1" applyAlignment="1"/>
    <xf numFmtId="43" fontId="10" fillId="9" borderId="9" xfId="0" applyNumberFormat="1" applyFont="1" applyFill="1" applyBorder="1"/>
    <xf numFmtId="166" fontId="3" fillId="9" borderId="9" xfId="0" applyNumberFormat="1" applyFont="1" applyFill="1" applyBorder="1" applyAlignment="1">
      <alignment horizontal="left"/>
    </xf>
    <xf numFmtId="0" fontId="7" fillId="0" borderId="9" xfId="0" applyFont="1" applyBorder="1" applyAlignment="1">
      <alignment vertical="center"/>
    </xf>
    <xf numFmtId="167" fontId="3" fillId="9" borderId="9" xfId="0" applyNumberFormat="1" applyFont="1" applyFill="1" applyBorder="1" applyAlignment="1">
      <alignment horizontal="left"/>
    </xf>
    <xf numFmtId="49" fontId="10" fillId="9" borderId="9" xfId="0" applyNumberFormat="1" applyFont="1" applyFill="1" applyBorder="1" applyAlignment="1"/>
    <xf numFmtId="0" fontId="2" fillId="9" borderId="0" xfId="0" applyFont="1" applyFill="1" applyAlignment="1">
      <alignment vertical="center" wrapText="1"/>
    </xf>
    <xf numFmtId="43" fontId="10" fillId="9" borderId="9" xfId="0" applyNumberFormat="1" applyFont="1" applyFill="1" applyBorder="1" applyAlignment="1"/>
    <xf numFmtId="43" fontId="3" fillId="2" borderId="9" xfId="0" applyNumberFormat="1" applyFont="1" applyFill="1" applyBorder="1"/>
    <xf numFmtId="164" fontId="3" fillId="2" borderId="9" xfId="0" applyNumberFormat="1" applyFont="1" applyFill="1" applyBorder="1" applyAlignment="1">
      <alignment horizontal="center"/>
    </xf>
    <xf numFmtId="164" fontId="3" fillId="0" borderId="9" xfId="0" applyNumberFormat="1" applyFont="1" applyBorder="1" applyAlignment="1">
      <alignment horizontal="center"/>
    </xf>
    <xf numFmtId="164" fontId="3" fillId="0" borderId="9" xfId="0" applyNumberFormat="1" applyFont="1" applyBorder="1" applyAlignment="1">
      <alignment horizontal="center" vertical="center"/>
    </xf>
    <xf numFmtId="43" fontId="3" fillId="0" borderId="9" xfId="0" applyNumberFormat="1" applyFont="1" applyBorder="1" applyAlignment="1">
      <alignment horizontal="right"/>
    </xf>
    <xf numFmtId="0" fontId="3" fillId="2" borderId="9" xfId="0" applyFont="1" applyFill="1" applyBorder="1" applyAlignment="1"/>
    <xf numFmtId="0" fontId="4" fillId="0" borderId="5" xfId="0" applyFont="1" applyBorder="1" applyAlignment="1">
      <alignment wrapText="1"/>
    </xf>
    <xf numFmtId="0" fontId="3" fillId="11" borderId="9" xfId="0" applyFont="1" applyFill="1" applyBorder="1"/>
    <xf numFmtId="0" fontId="3" fillId="11" borderId="9" xfId="0" quotePrefix="1" applyFont="1" applyFill="1" applyBorder="1"/>
    <xf numFmtId="4" fontId="3" fillId="11" borderId="9" xfId="0" applyNumberFormat="1" applyFont="1" applyFill="1" applyBorder="1"/>
    <xf numFmtId="0" fontId="3" fillId="11" borderId="9" xfId="0" applyFont="1" applyFill="1" applyBorder="1" applyAlignment="1">
      <alignment horizontal="center"/>
    </xf>
    <xf numFmtId="0" fontId="4" fillId="11" borderId="9" xfId="0" applyFont="1" applyFill="1" applyBorder="1" applyAlignment="1">
      <alignment wrapText="1"/>
    </xf>
    <xf numFmtId="4" fontId="2" fillId="0" borderId="9" xfId="0" applyNumberFormat="1" applyFont="1" applyBorder="1" applyAlignment="1">
      <alignment horizontal="right"/>
    </xf>
    <xf numFmtId="4" fontId="3" fillId="3" borderId="9" xfId="0" applyNumberFormat="1" applyFont="1" applyFill="1" applyBorder="1" applyAlignment="1"/>
    <xf numFmtId="43" fontId="2" fillId="0" borderId="0" xfId="0" applyNumberFormat="1" applyFont="1" applyAlignment="1">
      <alignment horizontal="center"/>
    </xf>
    <xf numFmtId="43" fontId="2" fillId="0" borderId="0" xfId="0" applyNumberFormat="1" applyFont="1" applyAlignment="1"/>
    <xf numFmtId="43" fontId="3" fillId="0" borderId="0" xfId="0" quotePrefix="1" applyNumberFormat="1" applyFont="1" applyAlignment="1">
      <alignment horizontal="center"/>
    </xf>
    <xf numFmtId="0" fontId="0" fillId="0" borderId="0" xfId="0" applyAlignment="1">
      <alignment horizontal="right"/>
    </xf>
    <xf numFmtId="0" fontId="22" fillId="0" borderId="0" xfId="0" applyFont="1"/>
    <xf numFmtId="0" fontId="23" fillId="0" borderId="0" xfId="0" applyFont="1" applyBorder="1" applyAlignment="1">
      <alignment horizontal="left" vertical="center" wrapText="1"/>
    </xf>
    <xf numFmtId="0" fontId="23" fillId="0" borderId="0" xfId="0" applyFont="1" applyBorder="1" applyAlignment="1">
      <alignment horizontal="left" vertical="center" wrapText="1"/>
    </xf>
    <xf numFmtId="0" fontId="23" fillId="0" borderId="15" xfId="0" applyFont="1" applyBorder="1" applyAlignment="1">
      <alignment horizontal="left" vertical="center" wrapText="1"/>
    </xf>
    <xf numFmtId="0" fontId="23" fillId="0" borderId="16" xfId="0" applyFont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23" fillId="0" borderId="17" xfId="0" applyFont="1" applyBorder="1" applyAlignment="1">
      <alignment horizontal="left" vertical="center"/>
    </xf>
    <xf numFmtId="0" fontId="23" fillId="0" borderId="18" xfId="0" applyFont="1" applyBorder="1" applyAlignment="1">
      <alignment horizontal="left" vertical="center"/>
    </xf>
    <xf numFmtId="0" fontId="22" fillId="0" borderId="0" xfId="0" applyFont="1" applyAlignment="1">
      <alignment horizontal="left"/>
    </xf>
    <xf numFmtId="0" fontId="23" fillId="0" borderId="19" xfId="0" applyFont="1" applyBorder="1" applyAlignment="1">
      <alignment horizontal="left" vertical="center"/>
    </xf>
    <xf numFmtId="0" fontId="23" fillId="0" borderId="20" xfId="0" applyFont="1" applyBorder="1" applyAlignment="1">
      <alignment horizontal="left" vertical="center"/>
    </xf>
    <xf numFmtId="0" fontId="24" fillId="0" borderId="0" xfId="0" applyFont="1" applyAlignment="1">
      <alignment horizontal="left" vertical="center"/>
    </xf>
    <xf numFmtId="0" fontId="25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26" fillId="12" borderId="21" xfId="0" applyFont="1" applyFill="1" applyBorder="1" applyAlignment="1">
      <alignment vertical="center"/>
    </xf>
    <xf numFmtId="0" fontId="26" fillId="12" borderId="22" xfId="0" applyFont="1" applyFill="1" applyBorder="1" applyAlignment="1">
      <alignment horizontal="center" vertical="center"/>
    </xf>
    <xf numFmtId="0" fontId="26" fillId="12" borderId="23" xfId="0" applyFont="1" applyFill="1" applyBorder="1" applyAlignment="1">
      <alignment horizontal="center" vertical="center"/>
    </xf>
    <xf numFmtId="0" fontId="26" fillId="12" borderId="24" xfId="0" applyFont="1" applyFill="1" applyBorder="1" applyAlignment="1">
      <alignment horizontal="center" vertical="center"/>
    </xf>
    <xf numFmtId="0" fontId="26" fillId="12" borderId="25" xfId="0" applyFont="1" applyFill="1" applyBorder="1" applyAlignment="1">
      <alignment horizontal="center" vertical="center"/>
    </xf>
    <xf numFmtId="0" fontId="26" fillId="12" borderId="25" xfId="0" applyFont="1" applyFill="1" applyBorder="1" applyAlignment="1">
      <alignment horizontal="center" vertical="center" wrapText="1"/>
    </xf>
    <xf numFmtId="0" fontId="26" fillId="12" borderId="26" xfId="0" applyFont="1" applyFill="1" applyBorder="1" applyAlignment="1">
      <alignment horizontal="center" vertical="center" wrapText="1"/>
    </xf>
    <xf numFmtId="0" fontId="27" fillId="13" borderId="27" xfId="0" applyFont="1" applyFill="1" applyBorder="1" applyAlignment="1">
      <alignment vertical="center"/>
    </xf>
    <xf numFmtId="0" fontId="27" fillId="14" borderId="28" xfId="0" applyFont="1" applyFill="1" applyBorder="1" applyAlignment="1">
      <alignment horizontal="center" vertical="center"/>
    </xf>
    <xf numFmtId="0" fontId="27" fillId="14" borderId="29" xfId="0" applyFont="1" applyFill="1" applyBorder="1" applyAlignment="1">
      <alignment horizontal="center" vertical="center"/>
    </xf>
    <xf numFmtId="0" fontId="27" fillId="14" borderId="30" xfId="0" applyFont="1" applyFill="1" applyBorder="1" applyAlignment="1">
      <alignment horizontal="center" vertical="center"/>
    </xf>
    <xf numFmtId="0" fontId="27" fillId="14" borderId="31" xfId="0" applyFont="1" applyFill="1" applyBorder="1" applyAlignment="1">
      <alignment horizontal="center" vertical="center"/>
    </xf>
    <xf numFmtId="0" fontId="27" fillId="14" borderId="31" xfId="0" applyFont="1" applyFill="1" applyBorder="1" applyAlignment="1">
      <alignment horizontal="center" vertical="center" wrapText="1"/>
    </xf>
    <xf numFmtId="0" fontId="27" fillId="14" borderId="32" xfId="0" applyFont="1" applyFill="1" applyBorder="1" applyAlignment="1">
      <alignment horizontal="center" vertical="center"/>
    </xf>
    <xf numFmtId="0" fontId="28" fillId="13" borderId="33" xfId="0" applyFont="1" applyFill="1" applyBorder="1" applyAlignment="1">
      <alignment horizontal="center" vertical="center"/>
    </xf>
    <xf numFmtId="0" fontId="29" fillId="13" borderId="34" xfId="0" applyFont="1" applyFill="1" applyBorder="1" applyAlignment="1">
      <alignment horizontal="center" vertical="center"/>
    </xf>
    <xf numFmtId="0" fontId="29" fillId="13" borderId="35" xfId="0" applyFont="1" applyFill="1" applyBorder="1" applyAlignment="1">
      <alignment horizontal="center" vertical="center"/>
    </xf>
    <xf numFmtId="0" fontId="29" fillId="13" borderId="35" xfId="0" applyFont="1" applyFill="1" applyBorder="1" applyAlignment="1">
      <alignment horizontal="center" vertical="center" wrapText="1"/>
    </xf>
    <xf numFmtId="0" fontId="29" fillId="13" borderId="36" xfId="0" applyFont="1" applyFill="1" applyBorder="1" applyAlignment="1">
      <alignment horizontal="center" vertical="center"/>
    </xf>
    <xf numFmtId="0" fontId="30" fillId="15" borderId="37" xfId="0" applyFont="1" applyFill="1" applyBorder="1" applyAlignment="1">
      <alignment horizontal="center" vertical="center" wrapText="1"/>
    </xf>
    <xf numFmtId="0" fontId="31" fillId="15" borderId="38" xfId="0" applyFont="1" applyFill="1" applyBorder="1" applyAlignment="1">
      <alignment horizontal="center" vertical="center" wrapText="1"/>
    </xf>
    <xf numFmtId="0" fontId="31" fillId="15" borderId="39" xfId="0" applyFont="1" applyFill="1" applyBorder="1" applyAlignment="1">
      <alignment horizontal="center" vertical="center" wrapText="1"/>
    </xf>
    <xf numFmtId="0" fontId="32" fillId="15" borderId="39" xfId="0" applyFont="1" applyFill="1" applyBorder="1" applyAlignment="1">
      <alignment horizontal="center" vertical="center" wrapText="1"/>
    </xf>
    <xf numFmtId="0" fontId="32" fillId="15" borderId="39" xfId="0" applyFont="1" applyFill="1" applyBorder="1" applyAlignment="1">
      <alignment vertical="center" wrapText="1"/>
    </xf>
    <xf numFmtId="168" fontId="33" fillId="15" borderId="39" xfId="0" applyNumberFormat="1" applyFont="1" applyFill="1" applyBorder="1" applyAlignment="1">
      <alignment vertical="center"/>
    </xf>
    <xf numFmtId="0" fontId="34" fillId="15" borderId="40" xfId="0" applyFont="1" applyFill="1" applyBorder="1" applyAlignment="1">
      <alignment vertical="center"/>
    </xf>
    <xf numFmtId="0" fontId="30" fillId="0" borderId="41" xfId="0" applyFont="1" applyBorder="1" applyAlignment="1">
      <alignment horizontal="center" vertical="top" wrapText="1"/>
    </xf>
    <xf numFmtId="0" fontId="32" fillId="0" borderId="42" xfId="0" applyFont="1" applyBorder="1" applyAlignment="1">
      <alignment horizontal="center" vertical="top" wrapText="1"/>
    </xf>
    <xf numFmtId="0" fontId="32" fillId="0" borderId="12" xfId="0" applyFont="1" applyBorder="1" applyAlignment="1">
      <alignment horizontal="center" vertical="top" wrapText="1"/>
    </xf>
    <xf numFmtId="0" fontId="32" fillId="0" borderId="39" xfId="0" applyFont="1" applyBorder="1" applyAlignment="1">
      <alignment horizontal="center" vertical="top" wrapText="1"/>
    </xf>
    <xf numFmtId="0" fontId="31" fillId="0" borderId="39" xfId="0" applyFont="1" applyBorder="1" applyAlignment="1">
      <alignment horizontal="center" vertical="top" wrapText="1"/>
    </xf>
    <xf numFmtId="0" fontId="31" fillId="0" borderId="12" xfId="0" applyFont="1" applyBorder="1" applyAlignment="1">
      <alignment horizontal="center" vertical="top" wrapText="1"/>
    </xf>
    <xf numFmtId="0" fontId="31" fillId="0" borderId="12" xfId="0" applyFont="1" applyBorder="1" applyAlignment="1">
      <alignment vertical="top" wrapText="1"/>
    </xf>
    <xf numFmtId="168" fontId="35" fillId="3" borderId="12" xfId="0" applyNumberFormat="1" applyFont="1" applyFill="1" applyBorder="1" applyAlignment="1">
      <alignment vertical="center"/>
    </xf>
    <xf numFmtId="0" fontId="36" fillId="0" borderId="43" xfId="0" applyFont="1" applyBorder="1" applyAlignment="1">
      <alignment vertical="center"/>
    </xf>
    <xf numFmtId="168" fontId="37" fillId="3" borderId="12" xfId="0" applyNumberFormat="1" applyFont="1" applyFill="1" applyBorder="1" applyAlignment="1">
      <alignment vertical="center"/>
    </xf>
    <xf numFmtId="9" fontId="36" fillId="0" borderId="43" xfId="0" applyNumberFormat="1" applyFont="1" applyBorder="1" applyAlignment="1">
      <alignment vertical="center"/>
    </xf>
    <xf numFmtId="168" fontId="36" fillId="0" borderId="43" xfId="0" applyNumberFormat="1" applyFont="1" applyBorder="1" applyAlignment="1">
      <alignment vertical="center"/>
    </xf>
    <xf numFmtId="43" fontId="36" fillId="0" borderId="43" xfId="1" applyFont="1" applyBorder="1" applyAlignment="1">
      <alignment vertical="center"/>
    </xf>
    <xf numFmtId="168" fontId="34" fillId="3" borderId="12" xfId="0" applyNumberFormat="1" applyFont="1" applyFill="1" applyBorder="1" applyAlignment="1">
      <alignment vertical="center"/>
    </xf>
    <xf numFmtId="43" fontId="34" fillId="0" borderId="43" xfId="0" applyNumberFormat="1" applyFont="1" applyBorder="1" applyAlignment="1">
      <alignment vertical="center"/>
    </xf>
    <xf numFmtId="0" fontId="34" fillId="0" borderId="43" xfId="0" applyFont="1" applyBorder="1" applyAlignment="1">
      <alignment vertical="center"/>
    </xf>
    <xf numFmtId="0" fontId="38" fillId="0" borderId="41" xfId="0" applyFont="1" applyBorder="1" applyAlignment="1">
      <alignment horizontal="center" vertical="top" wrapText="1"/>
    </xf>
    <xf numFmtId="0" fontId="31" fillId="0" borderId="42" xfId="0" applyFont="1" applyBorder="1" applyAlignment="1">
      <alignment horizontal="center" vertical="top" wrapText="1"/>
    </xf>
    <xf numFmtId="168" fontId="34" fillId="0" borderId="12" xfId="0" applyNumberFormat="1" applyFont="1" applyBorder="1" applyAlignment="1">
      <alignment vertical="center"/>
    </xf>
    <xf numFmtId="0" fontId="38" fillId="15" borderId="41" xfId="0" applyFont="1" applyFill="1" applyBorder="1" applyAlignment="1">
      <alignment horizontal="center" vertical="center" wrapText="1"/>
    </xf>
    <xf numFmtId="0" fontId="31" fillId="15" borderId="42" xfId="0" applyFont="1" applyFill="1" applyBorder="1" applyAlignment="1">
      <alignment horizontal="center" vertical="center" wrapText="1"/>
    </xf>
    <xf numFmtId="0" fontId="31" fillId="15" borderId="12" xfId="0" applyFont="1" applyFill="1" applyBorder="1" applyAlignment="1">
      <alignment horizontal="center" vertical="center" wrapText="1"/>
    </xf>
    <xf numFmtId="0" fontId="32" fillId="15" borderId="12" xfId="0" applyFont="1" applyFill="1" applyBorder="1" applyAlignment="1">
      <alignment vertical="center" wrapText="1"/>
    </xf>
    <xf numFmtId="168" fontId="32" fillId="15" borderId="12" xfId="0" applyNumberFormat="1" applyFont="1" applyFill="1" applyBorder="1" applyAlignment="1">
      <alignment vertical="center"/>
    </xf>
    <xf numFmtId="0" fontId="34" fillId="15" borderId="43" xfId="0" applyFont="1" applyFill="1" applyBorder="1" applyAlignment="1">
      <alignment vertical="center"/>
    </xf>
    <xf numFmtId="0" fontId="39" fillId="0" borderId="41" xfId="0" applyFont="1" applyBorder="1" applyAlignment="1">
      <alignment horizontal="center"/>
    </xf>
    <xf numFmtId="0" fontId="34" fillId="0" borderId="42" xfId="0" applyFont="1" applyBorder="1" applyAlignment="1">
      <alignment horizontal="center"/>
    </xf>
    <xf numFmtId="0" fontId="34" fillId="0" borderId="12" xfId="0" applyFont="1" applyBorder="1" applyAlignment="1">
      <alignment horizontal="center"/>
    </xf>
    <xf numFmtId="0" fontId="34" fillId="0" borderId="12" xfId="0" applyFont="1" applyBorder="1"/>
    <xf numFmtId="0" fontId="38" fillId="15" borderId="41" xfId="0" applyFont="1" applyFill="1" applyBorder="1" applyAlignment="1">
      <alignment horizontal="center" vertical="top" wrapText="1"/>
    </xf>
    <xf numFmtId="0" fontId="31" fillId="15" borderId="42" xfId="0" applyFont="1" applyFill="1" applyBorder="1" applyAlignment="1">
      <alignment horizontal="center" vertical="top" wrapText="1"/>
    </xf>
    <xf numFmtId="0" fontId="31" fillId="15" borderId="12" xfId="0" applyFont="1" applyFill="1" applyBorder="1" applyAlignment="1">
      <alignment horizontal="center" vertical="top" wrapText="1"/>
    </xf>
    <xf numFmtId="0" fontId="32" fillId="15" borderId="12" xfId="0" applyFont="1" applyFill="1" applyBorder="1" applyAlignment="1">
      <alignment horizontal="center" vertical="top" wrapText="1"/>
    </xf>
    <xf numFmtId="0" fontId="32" fillId="15" borderId="12" xfId="0" applyFont="1" applyFill="1" applyBorder="1" applyAlignment="1">
      <alignment vertical="top" wrapText="1"/>
    </xf>
    <xf numFmtId="168" fontId="34" fillId="15" borderId="12" xfId="0" applyNumberFormat="1" applyFont="1" applyFill="1" applyBorder="1" applyAlignment="1">
      <alignment vertical="center"/>
    </xf>
    <xf numFmtId="0" fontId="30" fillId="16" borderId="41" xfId="0" applyFont="1" applyFill="1" applyBorder="1" applyAlignment="1">
      <alignment horizontal="center" vertical="center" wrapText="1"/>
    </xf>
    <xf numFmtId="0" fontId="32" fillId="16" borderId="42" xfId="0" applyFont="1" applyFill="1" applyBorder="1" applyAlignment="1">
      <alignment horizontal="center" vertical="center" wrapText="1"/>
    </xf>
    <xf numFmtId="0" fontId="32" fillId="16" borderId="12" xfId="0" applyFont="1" applyFill="1" applyBorder="1" applyAlignment="1">
      <alignment horizontal="center" vertical="center" wrapText="1"/>
    </xf>
    <xf numFmtId="0" fontId="40" fillId="16" borderId="12" xfId="0" applyFont="1" applyFill="1" applyBorder="1" applyAlignment="1">
      <alignment vertical="center" wrapText="1"/>
    </xf>
    <xf numFmtId="168" fontId="32" fillId="16" borderId="12" xfId="0" applyNumberFormat="1" applyFont="1" applyFill="1" applyBorder="1" applyAlignment="1">
      <alignment vertical="center"/>
    </xf>
    <xf numFmtId="168" fontId="32" fillId="16" borderId="43" xfId="0" applyNumberFormat="1" applyFont="1" applyFill="1" applyBorder="1" applyAlignment="1">
      <alignment vertical="center"/>
    </xf>
    <xf numFmtId="0" fontId="30" fillId="15" borderId="41" xfId="0" applyFont="1" applyFill="1" applyBorder="1" applyAlignment="1">
      <alignment horizontal="center" vertical="center" wrapText="1"/>
    </xf>
    <xf numFmtId="0" fontId="32" fillId="13" borderId="42" xfId="0" applyFont="1" applyFill="1" applyBorder="1" applyAlignment="1">
      <alignment horizontal="center" vertical="center" wrapText="1"/>
    </xf>
    <xf numFmtId="0" fontId="32" fillId="13" borderId="12" xfId="0" applyFont="1" applyFill="1" applyBorder="1" applyAlignment="1">
      <alignment horizontal="center" vertical="center" wrapText="1"/>
    </xf>
    <xf numFmtId="0" fontId="32" fillId="13" borderId="12" xfId="0" applyFont="1" applyFill="1" applyBorder="1" applyAlignment="1">
      <alignment horizontal="left" vertical="center" wrapText="1"/>
    </xf>
    <xf numFmtId="168" fontId="32" fillId="13" borderId="12" xfId="0" applyNumberFormat="1" applyFont="1" applyFill="1" applyBorder="1" applyAlignment="1">
      <alignment vertical="center"/>
    </xf>
    <xf numFmtId="0" fontId="32" fillId="13" borderId="43" xfId="0" applyFont="1" applyFill="1" applyBorder="1" applyAlignment="1">
      <alignment vertical="center"/>
    </xf>
    <xf numFmtId="168" fontId="32" fillId="0" borderId="12" xfId="0" applyNumberFormat="1" applyFont="1" applyBorder="1" applyAlignment="1">
      <alignment vertical="center"/>
    </xf>
    <xf numFmtId="0" fontId="31" fillId="0" borderId="43" xfId="0" applyFont="1" applyBorder="1" applyAlignment="1">
      <alignment vertical="center"/>
    </xf>
    <xf numFmtId="3" fontId="31" fillId="0" borderId="12" xfId="0" quotePrefix="1" applyNumberFormat="1" applyFont="1" applyBorder="1" applyAlignment="1">
      <alignment horizontal="center" vertical="top" wrapText="1"/>
    </xf>
    <xf numFmtId="0" fontId="31" fillId="0" borderId="12" xfId="0" applyFont="1" applyBorder="1" applyAlignment="1">
      <alignment horizontal="justify" vertical="top" wrapText="1"/>
    </xf>
    <xf numFmtId="170" fontId="31" fillId="0" borderId="12" xfId="0" applyNumberFormat="1" applyFont="1" applyBorder="1" applyAlignment="1">
      <alignment horizontal="left" vertical="center"/>
    </xf>
    <xf numFmtId="168" fontId="31" fillId="0" borderId="43" xfId="0" applyNumberFormat="1" applyFont="1" applyBorder="1" applyAlignment="1">
      <alignment vertical="center"/>
    </xf>
    <xf numFmtId="0" fontId="31" fillId="0" borderId="12" xfId="0" quotePrefix="1" applyFont="1" applyBorder="1" applyAlignment="1">
      <alignment horizontal="center" vertical="top" wrapText="1"/>
    </xf>
    <xf numFmtId="170" fontId="31" fillId="0" borderId="12" xfId="0" applyNumberFormat="1" applyFont="1" applyBorder="1" applyAlignment="1">
      <alignment vertical="center"/>
    </xf>
    <xf numFmtId="170" fontId="32" fillId="0" borderId="12" xfId="0" applyNumberFormat="1" applyFont="1" applyBorder="1" applyAlignment="1">
      <alignment vertical="center"/>
    </xf>
    <xf numFmtId="0" fontId="31" fillId="15" borderId="12" xfId="0" quotePrefix="1" applyFont="1" applyFill="1" applyBorder="1" applyAlignment="1">
      <alignment horizontal="center" vertical="top" wrapText="1"/>
    </xf>
    <xf numFmtId="0" fontId="31" fillId="15" borderId="12" xfId="0" applyFont="1" applyFill="1" applyBorder="1" applyAlignment="1">
      <alignment horizontal="center"/>
    </xf>
    <xf numFmtId="0" fontId="31" fillId="15" borderId="12" xfId="0" applyFont="1" applyFill="1" applyBorder="1" applyAlignment="1">
      <alignment vertical="center"/>
    </xf>
    <xf numFmtId="170" fontId="32" fillId="15" borderId="12" xfId="0" applyNumberFormat="1" applyFont="1" applyFill="1" applyBorder="1" applyAlignment="1">
      <alignment vertical="center"/>
    </xf>
    <xf numFmtId="0" fontId="31" fillId="15" borderId="43" xfId="0" applyFont="1" applyFill="1" applyBorder="1" applyAlignment="1">
      <alignment vertical="center"/>
    </xf>
    <xf numFmtId="0" fontId="31" fillId="0" borderId="12" xfId="0" applyFont="1" applyBorder="1" applyAlignment="1">
      <alignment horizontal="center"/>
    </xf>
    <xf numFmtId="170" fontId="31" fillId="3" borderId="12" xfId="0" applyNumberFormat="1" applyFont="1" applyFill="1" applyBorder="1" applyAlignment="1">
      <alignment vertical="center"/>
    </xf>
    <xf numFmtId="0" fontId="31" fillId="0" borderId="12" xfId="0" applyFont="1" applyBorder="1" applyAlignment="1">
      <alignment vertical="center"/>
    </xf>
    <xf numFmtId="0" fontId="30" fillId="13" borderId="41" xfId="0" applyFont="1" applyFill="1" applyBorder="1" applyAlignment="1">
      <alignment horizontal="center" vertical="top" wrapText="1"/>
    </xf>
    <xf numFmtId="0" fontId="32" fillId="3" borderId="42" xfId="0" applyFont="1" applyFill="1" applyBorder="1" applyAlignment="1">
      <alignment horizontal="center" vertical="top" wrapText="1"/>
    </xf>
    <xf numFmtId="0" fontId="32" fillId="3" borderId="12" xfId="0" applyFont="1" applyFill="1" applyBorder="1" applyAlignment="1">
      <alignment horizontal="center" vertical="top" wrapText="1"/>
    </xf>
    <xf numFmtId="0" fontId="32" fillId="3" borderId="12" xfId="0" applyFont="1" applyFill="1" applyBorder="1" applyAlignment="1">
      <alignment vertical="top" wrapText="1"/>
    </xf>
    <xf numFmtId="171" fontId="32" fillId="3" borderId="12" xfId="0" applyNumberFormat="1" applyFont="1" applyFill="1" applyBorder="1" applyAlignment="1">
      <alignment vertical="center"/>
    </xf>
    <xf numFmtId="0" fontId="31" fillId="3" borderId="43" xfId="0" applyFont="1" applyFill="1" applyBorder="1" applyAlignment="1">
      <alignment vertical="center"/>
    </xf>
    <xf numFmtId="0" fontId="31" fillId="3" borderId="42" xfId="0" applyFont="1" applyFill="1" applyBorder="1" applyAlignment="1">
      <alignment horizontal="center" vertical="top" wrapText="1"/>
    </xf>
    <xf numFmtId="0" fontId="31" fillId="3" borderId="12" xfId="0" applyFont="1" applyFill="1" applyBorder="1" applyAlignment="1">
      <alignment horizontal="center" vertical="top" wrapText="1"/>
    </xf>
    <xf numFmtId="0" fontId="31" fillId="3" borderId="12" xfId="0" applyFont="1" applyFill="1" applyBorder="1" applyAlignment="1">
      <alignment vertical="top" wrapText="1"/>
    </xf>
    <xf numFmtId="171" fontId="31" fillId="3" borderId="12" xfId="0" applyNumberFormat="1" applyFont="1" applyFill="1" applyBorder="1" applyAlignment="1">
      <alignment vertical="center"/>
    </xf>
    <xf numFmtId="0" fontId="31" fillId="6" borderId="42" xfId="0" applyFont="1" applyFill="1" applyBorder="1" applyAlignment="1">
      <alignment horizontal="center" vertical="center" wrapText="1"/>
    </xf>
    <xf numFmtId="0" fontId="31" fillId="6" borderId="12" xfId="0" quotePrefix="1" applyFont="1" applyFill="1" applyBorder="1" applyAlignment="1">
      <alignment horizontal="center" vertical="center" wrapText="1"/>
    </xf>
    <xf numFmtId="0" fontId="31" fillId="6" borderId="12" xfId="0" applyFont="1" applyFill="1" applyBorder="1" applyAlignment="1">
      <alignment horizontal="center" vertical="center" wrapText="1"/>
    </xf>
    <xf numFmtId="0" fontId="31" fillId="6" borderId="12" xfId="0" applyFont="1" applyFill="1" applyBorder="1" applyAlignment="1">
      <alignment horizontal="center" vertical="top" wrapText="1"/>
    </xf>
    <xf numFmtId="0" fontId="32" fillId="6" borderId="12" xfId="0" applyFont="1" applyFill="1" applyBorder="1" applyAlignment="1">
      <alignment vertical="center" wrapText="1"/>
    </xf>
    <xf numFmtId="170" fontId="32" fillId="6" borderId="12" xfId="0" applyNumberFormat="1" applyFont="1" applyFill="1" applyBorder="1" applyAlignment="1">
      <alignment vertical="center"/>
    </xf>
    <xf numFmtId="0" fontId="31" fillId="6" borderId="43" xfId="0" applyFont="1" applyFill="1" applyBorder="1" applyAlignment="1">
      <alignment vertical="center"/>
    </xf>
    <xf numFmtId="0" fontId="31" fillId="3" borderId="42" xfId="0" applyFont="1" applyFill="1" applyBorder="1" applyAlignment="1">
      <alignment horizontal="center" vertical="center" wrapText="1"/>
    </xf>
    <xf numFmtId="0" fontId="31" fillId="3" borderId="12" xfId="0" applyFont="1" applyFill="1" applyBorder="1" applyAlignment="1">
      <alignment horizontal="center" vertical="center" wrapText="1"/>
    </xf>
    <xf numFmtId="0" fontId="31" fillId="3" borderId="12" xfId="0" applyFont="1" applyFill="1" applyBorder="1" applyAlignment="1">
      <alignment vertical="center" wrapText="1"/>
    </xf>
    <xf numFmtId="170" fontId="37" fillId="0" borderId="12" xfId="3" applyNumberFormat="1" applyFont="1" applyBorder="1" applyAlignment="1">
      <alignment horizontal="right" vertical="center"/>
    </xf>
    <xf numFmtId="0" fontId="32" fillId="0" borderId="12" xfId="0" applyFont="1" applyBorder="1" applyAlignment="1">
      <alignment horizontal="justify" vertical="top" wrapText="1"/>
    </xf>
    <xf numFmtId="170" fontId="35" fillId="0" borderId="12" xfId="3" applyNumberFormat="1" applyFont="1" applyBorder="1" applyAlignment="1">
      <alignment horizontal="right" vertical="center"/>
    </xf>
    <xf numFmtId="0" fontId="32" fillId="0" borderId="12" xfId="0" applyFont="1" applyBorder="1" applyAlignment="1">
      <alignment vertical="top" wrapText="1"/>
    </xf>
    <xf numFmtId="0" fontId="38" fillId="0" borderId="41" xfId="0" applyFont="1" applyBorder="1" applyAlignment="1">
      <alignment horizontal="center" vertical="center" wrapText="1"/>
    </xf>
    <xf numFmtId="0" fontId="30" fillId="13" borderId="41" xfId="0" applyFont="1" applyFill="1" applyBorder="1" applyAlignment="1">
      <alignment horizontal="center" vertical="center" wrapText="1"/>
    </xf>
    <xf numFmtId="0" fontId="32" fillId="13" borderId="42" xfId="0" applyFont="1" applyFill="1" applyBorder="1" applyAlignment="1">
      <alignment horizontal="center" wrapText="1"/>
    </xf>
    <xf numFmtId="0" fontId="32" fillId="13" borderId="12" xfId="0" applyFont="1" applyFill="1" applyBorder="1" applyAlignment="1">
      <alignment horizontal="center" wrapText="1"/>
    </xf>
    <xf numFmtId="0" fontId="31" fillId="13" borderId="12" xfId="0" applyFont="1" applyFill="1" applyBorder="1" applyAlignment="1">
      <alignment horizontal="center" vertical="center" wrapText="1"/>
    </xf>
    <xf numFmtId="0" fontId="35" fillId="13" borderId="12" xfId="2" applyFont="1" applyFill="1" applyBorder="1" applyAlignment="1">
      <alignment horizontal="left" vertical="center"/>
    </xf>
    <xf numFmtId="170" fontId="32" fillId="13" borderId="12" xfId="0" applyNumberFormat="1" applyFont="1" applyFill="1" applyBorder="1" applyAlignment="1">
      <alignment vertical="center"/>
    </xf>
    <xf numFmtId="0" fontId="31" fillId="13" borderId="43" xfId="0" applyFont="1" applyFill="1" applyBorder="1" applyAlignment="1">
      <alignment vertical="center"/>
    </xf>
    <xf numFmtId="0" fontId="31" fillId="0" borderId="42" xfId="0" applyFont="1" applyBorder="1" applyAlignment="1">
      <alignment horizontal="center" wrapText="1"/>
    </xf>
    <xf numFmtId="0" fontId="31" fillId="0" borderId="12" xfId="0" quotePrefix="1" applyFont="1" applyBorder="1" applyAlignment="1">
      <alignment horizontal="center" wrapText="1"/>
    </xf>
    <xf numFmtId="0" fontId="31" fillId="0" borderId="12" xfId="0" applyFont="1" applyBorder="1" applyAlignment="1">
      <alignment horizontal="center" wrapText="1"/>
    </xf>
    <xf numFmtId="0" fontId="31" fillId="0" borderId="12" xfId="0" applyFont="1" applyBorder="1" applyAlignment="1">
      <alignment horizontal="center" vertical="center" wrapText="1"/>
    </xf>
    <xf numFmtId="0" fontId="37" fillId="0" borderId="12" xfId="2" applyFont="1" applyBorder="1" applyAlignment="1">
      <alignment horizontal="left" vertical="center"/>
    </xf>
    <xf numFmtId="0" fontId="31" fillId="0" borderId="12" xfId="0" applyFont="1" applyBorder="1" applyAlignment="1">
      <alignment wrapText="1"/>
    </xf>
    <xf numFmtId="0" fontId="31" fillId="0" borderId="42" xfId="0" applyFont="1" applyBorder="1" applyAlignment="1">
      <alignment horizontal="center" vertical="center" wrapText="1"/>
    </xf>
    <xf numFmtId="0" fontId="31" fillId="0" borderId="12" xfId="0" quotePrefix="1" applyFont="1" applyBorder="1" applyAlignment="1">
      <alignment horizontal="center" vertical="center" wrapText="1"/>
    </xf>
    <xf numFmtId="0" fontId="31" fillId="0" borderId="44" xfId="0" applyFont="1" applyBorder="1" applyAlignment="1">
      <alignment vertical="center"/>
    </xf>
    <xf numFmtId="168" fontId="31" fillId="0" borderId="12" xfId="0" applyNumberFormat="1" applyFont="1" applyBorder="1" applyAlignment="1">
      <alignment vertical="center"/>
    </xf>
    <xf numFmtId="0" fontId="31" fillId="6" borderId="12" xfId="0" applyFont="1" applyFill="1" applyBorder="1" applyAlignment="1">
      <alignment vertical="top" wrapText="1"/>
    </xf>
    <xf numFmtId="0" fontId="35" fillId="13" borderId="12" xfId="2" applyFont="1" applyFill="1" applyBorder="1" applyAlignment="1">
      <alignment horizontal="left" vertical="center" wrapText="1"/>
    </xf>
    <xf numFmtId="170" fontId="35" fillId="13" borderId="12" xfId="3" applyNumberFormat="1" applyFont="1" applyFill="1" applyBorder="1" applyAlignment="1">
      <alignment horizontal="right" vertical="center"/>
    </xf>
    <xf numFmtId="0" fontId="37" fillId="0" borderId="12" xfId="2" applyFont="1" applyBorder="1" applyAlignment="1">
      <alignment vertical="center" wrapText="1"/>
    </xf>
    <xf numFmtId="0" fontId="32" fillId="13" borderId="12" xfId="0" applyFont="1" applyFill="1" applyBorder="1" applyAlignment="1">
      <alignment horizontal="center" vertical="top" wrapText="1"/>
    </xf>
    <xf numFmtId="0" fontId="35" fillId="13" borderId="12" xfId="2" applyFont="1" applyFill="1" applyBorder="1" applyAlignment="1">
      <alignment vertical="center" wrapText="1"/>
    </xf>
    <xf numFmtId="0" fontId="37" fillId="0" borderId="12" xfId="2" applyFont="1" applyBorder="1" applyAlignment="1">
      <alignment horizontal="left" vertical="center" wrapText="1"/>
    </xf>
    <xf numFmtId="0" fontId="32" fillId="13" borderId="42" xfId="0" applyFont="1" applyFill="1" applyBorder="1" applyAlignment="1">
      <alignment horizontal="center" vertical="top" wrapText="1"/>
    </xf>
    <xf numFmtId="0" fontId="31" fillId="13" borderId="12" xfId="0" applyFont="1" applyFill="1" applyBorder="1" applyAlignment="1">
      <alignment horizontal="center" vertical="top" wrapText="1"/>
    </xf>
    <xf numFmtId="0" fontId="40" fillId="13" borderId="43" xfId="0" applyFont="1" applyFill="1" applyBorder="1" applyAlignment="1">
      <alignment horizontal="center" vertical="center"/>
    </xf>
    <xf numFmtId="0" fontId="32" fillId="6" borderId="43" xfId="0" applyFont="1" applyFill="1" applyBorder="1" applyAlignment="1">
      <alignment vertical="center"/>
    </xf>
    <xf numFmtId="0" fontId="41" fillId="16" borderId="41" xfId="0" applyFont="1" applyFill="1" applyBorder="1" applyAlignment="1">
      <alignment horizontal="center" vertical="center" wrapText="1"/>
    </xf>
    <xf numFmtId="0" fontId="40" fillId="16" borderId="12" xfId="0" applyFont="1" applyFill="1" applyBorder="1" applyAlignment="1">
      <alignment horizontal="center" vertical="center" wrapText="1"/>
    </xf>
    <xf numFmtId="170" fontId="32" fillId="16" borderId="12" xfId="0" applyNumberFormat="1" applyFont="1" applyFill="1" applyBorder="1" applyAlignment="1">
      <alignment vertical="center"/>
    </xf>
    <xf numFmtId="0" fontId="31" fillId="16" borderId="43" xfId="0" applyFont="1" applyFill="1" applyBorder="1" applyAlignment="1">
      <alignment vertical="center"/>
    </xf>
    <xf numFmtId="0" fontId="40" fillId="13" borderId="12" xfId="0" applyFont="1" applyFill="1" applyBorder="1" applyAlignment="1">
      <alignment horizontal="center" vertical="center" wrapText="1"/>
    </xf>
    <xf numFmtId="0" fontId="40" fillId="13" borderId="12" xfId="0" applyFont="1" applyFill="1" applyBorder="1" applyAlignment="1">
      <alignment vertical="center" wrapText="1"/>
    </xf>
    <xf numFmtId="0" fontId="31" fillId="15" borderId="12" xfId="0" quotePrefix="1" applyFont="1" applyFill="1" applyBorder="1" applyAlignment="1">
      <alignment horizontal="center" vertical="center" wrapText="1"/>
    </xf>
    <xf numFmtId="0" fontId="42" fillId="15" borderId="12" xfId="0" applyFont="1" applyFill="1" applyBorder="1" applyAlignment="1">
      <alignment horizontal="center" vertical="center" wrapText="1"/>
    </xf>
    <xf numFmtId="0" fontId="31" fillId="15" borderId="12" xfId="0" applyFont="1" applyFill="1" applyBorder="1" applyAlignment="1">
      <alignment vertical="center" wrapText="1"/>
    </xf>
    <xf numFmtId="0" fontId="43" fillId="3" borderId="41" xfId="0" applyFont="1" applyFill="1" applyBorder="1" applyAlignment="1">
      <alignment horizontal="center" vertical="center" wrapText="1"/>
    </xf>
    <xf numFmtId="0" fontId="31" fillId="3" borderId="12" xfId="0" quotePrefix="1" applyFont="1" applyFill="1" applyBorder="1" applyAlignment="1">
      <alignment horizontal="center" vertical="center" wrapText="1"/>
    </xf>
    <xf numFmtId="0" fontId="42" fillId="3" borderId="12" xfId="0" applyFont="1" applyFill="1" applyBorder="1" applyAlignment="1">
      <alignment horizontal="center" vertical="center" wrapText="1"/>
    </xf>
    <xf numFmtId="0" fontId="40" fillId="3" borderId="12" xfId="0" applyFont="1" applyFill="1" applyBorder="1" applyAlignment="1">
      <alignment horizontal="center" vertical="center" wrapText="1"/>
    </xf>
    <xf numFmtId="170" fontId="32" fillId="3" borderId="12" xfId="0" applyNumberFormat="1" applyFont="1" applyFill="1" applyBorder="1" applyAlignment="1">
      <alignment vertical="center"/>
    </xf>
    <xf numFmtId="0" fontId="32" fillId="13" borderId="12" xfId="0" applyFont="1" applyFill="1" applyBorder="1" applyAlignment="1">
      <alignment vertical="center" wrapText="1"/>
    </xf>
    <xf numFmtId="0" fontId="32" fillId="3" borderId="42" xfId="0" applyFont="1" applyFill="1" applyBorder="1" applyAlignment="1">
      <alignment horizontal="center" vertical="center" wrapText="1"/>
    </xf>
    <xf numFmtId="0" fontId="32" fillId="3" borderId="12" xfId="0" quotePrefix="1" applyFont="1" applyFill="1" applyBorder="1" applyAlignment="1">
      <alignment horizontal="center" vertical="center" wrapText="1"/>
    </xf>
    <xf numFmtId="0" fontId="32" fillId="3" borderId="12" xfId="0" applyFont="1" applyFill="1" applyBorder="1" applyAlignment="1">
      <alignment horizontal="center" vertical="center" wrapText="1"/>
    </xf>
    <xf numFmtId="0" fontId="32" fillId="3" borderId="12" xfId="0" applyFont="1" applyFill="1" applyBorder="1" applyAlignment="1">
      <alignment vertical="center" wrapText="1"/>
    </xf>
    <xf numFmtId="0" fontId="31" fillId="3" borderId="45" xfId="0" applyFont="1" applyFill="1" applyBorder="1" applyAlignment="1">
      <alignment horizontal="center" vertical="center" wrapText="1"/>
    </xf>
    <xf numFmtId="0" fontId="31" fillId="17" borderId="45" xfId="0" applyFont="1" applyFill="1" applyBorder="1" applyAlignment="1">
      <alignment horizontal="center" vertical="center" wrapText="1"/>
    </xf>
    <xf numFmtId="0" fontId="31" fillId="17" borderId="12" xfId="0" quotePrefix="1" applyFont="1" applyFill="1" applyBorder="1" applyAlignment="1">
      <alignment horizontal="center" vertical="center" wrapText="1"/>
    </xf>
    <xf numFmtId="0" fontId="31" fillId="17" borderId="12" xfId="0" applyFont="1" applyFill="1" applyBorder="1" applyAlignment="1">
      <alignment horizontal="center" vertical="center" wrapText="1"/>
    </xf>
    <xf numFmtId="0" fontId="40" fillId="17" borderId="12" xfId="0" applyFont="1" applyFill="1" applyBorder="1" applyAlignment="1">
      <alignment horizontal="center" vertical="center" wrapText="1"/>
    </xf>
    <xf numFmtId="0" fontId="31" fillId="17" borderId="12" xfId="0" applyFont="1" applyFill="1" applyBorder="1" applyAlignment="1">
      <alignment vertical="center" wrapText="1"/>
    </xf>
    <xf numFmtId="170" fontId="32" fillId="17" borderId="12" xfId="0" applyNumberFormat="1" applyFont="1" applyFill="1" applyBorder="1" applyAlignment="1">
      <alignment vertical="center"/>
    </xf>
    <xf numFmtId="0" fontId="31" fillId="17" borderId="43" xfId="0" applyFont="1" applyFill="1" applyBorder="1" applyAlignment="1">
      <alignment vertical="center"/>
    </xf>
    <xf numFmtId="0" fontId="31" fillId="17" borderId="42" xfId="0" applyFont="1" applyFill="1" applyBorder="1" applyAlignment="1">
      <alignment horizontal="center" vertical="center" wrapText="1"/>
    </xf>
    <xf numFmtId="0" fontId="32" fillId="17" borderId="12" xfId="0" applyFont="1" applyFill="1" applyBorder="1" applyAlignment="1">
      <alignment vertical="center" wrapText="1"/>
    </xf>
    <xf numFmtId="0" fontId="32" fillId="17" borderId="43" xfId="0" applyFont="1" applyFill="1" applyBorder="1" applyAlignment="1">
      <alignment vertical="center"/>
    </xf>
    <xf numFmtId="0" fontId="31" fillId="13" borderId="42" xfId="0" applyFont="1" applyFill="1" applyBorder="1" applyAlignment="1">
      <alignment horizontal="center" vertical="center" wrapText="1"/>
    </xf>
    <xf numFmtId="0" fontId="32" fillId="3" borderId="12" xfId="0" applyFont="1" applyFill="1" applyBorder="1" applyAlignment="1">
      <alignment horizontal="left" vertical="center" wrapText="1"/>
    </xf>
    <xf numFmtId="0" fontId="40" fillId="16" borderId="42" xfId="0" applyFont="1" applyFill="1" applyBorder="1" applyAlignment="1">
      <alignment horizontal="center" vertical="center" wrapText="1"/>
    </xf>
    <xf numFmtId="0" fontId="40" fillId="17" borderId="12" xfId="0" applyFont="1" applyFill="1" applyBorder="1" applyAlignment="1">
      <alignment vertical="center" wrapText="1"/>
    </xf>
    <xf numFmtId="0" fontId="44" fillId="17" borderId="43" xfId="0" applyFont="1" applyFill="1" applyBorder="1" applyAlignment="1">
      <alignment vertical="center"/>
    </xf>
    <xf numFmtId="0" fontId="40" fillId="13" borderId="42" xfId="0" applyFont="1" applyFill="1" applyBorder="1" applyAlignment="1">
      <alignment horizontal="center" vertical="center" wrapText="1"/>
    </xf>
    <xf numFmtId="0" fontId="44" fillId="13" borderId="43" xfId="0" applyFont="1" applyFill="1" applyBorder="1" applyAlignment="1">
      <alignment vertical="center"/>
    </xf>
    <xf numFmtId="0" fontId="38" fillId="3" borderId="41" xfId="0" applyFont="1" applyFill="1" applyBorder="1" applyAlignment="1">
      <alignment horizontal="center" vertical="center" wrapText="1"/>
    </xf>
    <xf numFmtId="0" fontId="37" fillId="3" borderId="43" xfId="0" applyFont="1" applyFill="1" applyBorder="1" applyAlignment="1">
      <alignment vertical="center"/>
    </xf>
    <xf numFmtId="0" fontId="42" fillId="13" borderId="12" xfId="0" applyFont="1" applyFill="1" applyBorder="1" applyAlignment="1">
      <alignment horizontal="center" vertical="center" wrapText="1"/>
    </xf>
    <xf numFmtId="0" fontId="37" fillId="13" borderId="43" xfId="0" applyFont="1" applyFill="1" applyBorder="1" applyAlignment="1">
      <alignment vertical="center"/>
    </xf>
    <xf numFmtId="0" fontId="31" fillId="3" borderId="12" xfId="0" applyFont="1" applyFill="1" applyBorder="1" applyAlignment="1">
      <alignment horizontal="left" vertical="center" wrapText="1"/>
    </xf>
    <xf numFmtId="0" fontId="31" fillId="0" borderId="12" xfId="0" applyFont="1" applyBorder="1" applyAlignment="1">
      <alignment vertical="center" wrapText="1"/>
    </xf>
    <xf numFmtId="0" fontId="37" fillId="0" borderId="43" xfId="0" applyFont="1" applyBorder="1" applyAlignment="1">
      <alignment vertical="center"/>
    </xf>
    <xf numFmtId="0" fontId="32" fillId="16" borderId="12" xfId="0" applyFont="1" applyFill="1" applyBorder="1" applyAlignment="1">
      <alignment vertical="center" wrapText="1"/>
    </xf>
    <xf numFmtId="0" fontId="37" fillId="16" borderId="43" xfId="0" applyFont="1" applyFill="1" applyBorder="1" applyAlignment="1">
      <alignment vertical="center"/>
    </xf>
    <xf numFmtId="0" fontId="38" fillId="0" borderId="41" xfId="0" applyFont="1" applyBorder="1" applyAlignment="1">
      <alignment horizontal="center" vertical="center"/>
    </xf>
    <xf numFmtId="0" fontId="38" fillId="0" borderId="41" xfId="0" applyFont="1" applyBorder="1" applyAlignment="1">
      <alignment vertical="center" wrapText="1"/>
    </xf>
    <xf numFmtId="0" fontId="31" fillId="3" borderId="42" xfId="0" applyFont="1" applyFill="1" applyBorder="1" applyAlignment="1">
      <alignment vertical="center" wrapText="1"/>
    </xf>
    <xf numFmtId="0" fontId="31" fillId="3" borderId="12" xfId="0" quotePrefix="1" applyFont="1" applyFill="1" applyBorder="1" applyAlignment="1">
      <alignment vertical="center" wrapText="1"/>
    </xf>
    <xf numFmtId="0" fontId="31" fillId="16" borderId="12" xfId="0" applyFont="1" applyFill="1" applyBorder="1" applyAlignment="1">
      <alignment horizontal="center" vertical="center" wrapText="1"/>
    </xf>
    <xf numFmtId="0" fontId="32" fillId="16" borderId="12" xfId="0" applyFont="1" applyFill="1" applyBorder="1" applyAlignment="1">
      <alignment horizontal="justify" vertical="center" wrapText="1"/>
    </xf>
    <xf numFmtId="170" fontId="35" fillId="16" borderId="12" xfId="3" applyNumberFormat="1" applyFont="1" applyFill="1" applyBorder="1" applyAlignment="1">
      <alignment horizontal="right" vertical="center"/>
    </xf>
    <xf numFmtId="0" fontId="31" fillId="3" borderId="12" xfId="0" applyFont="1" applyFill="1" applyBorder="1" applyAlignment="1">
      <alignment horizontal="justify" vertical="center" wrapText="1"/>
    </xf>
    <xf numFmtId="170" fontId="37" fillId="3" borderId="12" xfId="3" applyNumberFormat="1" applyFont="1" applyFill="1" applyBorder="1" applyAlignment="1">
      <alignment horizontal="right" vertical="center"/>
    </xf>
    <xf numFmtId="170" fontId="35" fillId="3" borderId="12" xfId="3" applyNumberFormat="1" applyFont="1" applyFill="1" applyBorder="1" applyAlignment="1">
      <alignment horizontal="right" vertical="center"/>
    </xf>
    <xf numFmtId="0" fontId="44" fillId="3" borderId="12" xfId="0" quotePrefix="1" applyFont="1" applyFill="1" applyBorder="1" applyAlignment="1">
      <alignment horizontal="center" vertical="center" wrapText="1"/>
    </xf>
    <xf numFmtId="0" fontId="44" fillId="3" borderId="12" xfId="0" applyFont="1" applyFill="1" applyBorder="1" applyAlignment="1">
      <alignment horizontal="center" vertical="center" wrapText="1"/>
    </xf>
    <xf numFmtId="0" fontId="44" fillId="3" borderId="12" xfId="0" applyFont="1" applyFill="1" applyBorder="1" applyAlignment="1">
      <alignment horizontal="justify" vertical="center" wrapText="1"/>
    </xf>
    <xf numFmtId="0" fontId="35" fillId="13" borderId="42" xfId="0" applyFont="1" applyFill="1" applyBorder="1" applyAlignment="1">
      <alignment horizontal="center" vertical="center" wrapText="1"/>
    </xf>
    <xf numFmtId="0" fontId="35" fillId="13" borderId="12" xfId="0" quotePrefix="1" applyFont="1" applyFill="1" applyBorder="1" applyAlignment="1">
      <alignment horizontal="center" vertical="center" wrapText="1"/>
    </xf>
    <xf numFmtId="0" fontId="37" fillId="13" borderId="12" xfId="0" applyFont="1" applyFill="1" applyBorder="1" applyAlignment="1">
      <alignment horizontal="center" vertical="center" wrapText="1"/>
    </xf>
    <xf numFmtId="0" fontId="35" fillId="13" borderId="12" xfId="0" applyFont="1" applyFill="1" applyBorder="1" applyAlignment="1">
      <alignment horizontal="left" vertical="center" wrapText="1"/>
    </xf>
    <xf numFmtId="0" fontId="45" fillId="13" borderId="43" xfId="0" applyFont="1" applyFill="1" applyBorder="1" applyAlignment="1">
      <alignment vertical="center"/>
    </xf>
    <xf numFmtId="168" fontId="31" fillId="3" borderId="0" xfId="0" applyNumberFormat="1" applyFont="1" applyFill="1" applyAlignment="1">
      <alignment vertical="center"/>
    </xf>
    <xf numFmtId="0" fontId="38" fillId="18" borderId="41" xfId="0" applyFont="1" applyFill="1" applyBorder="1" applyAlignment="1">
      <alignment horizontal="center" vertical="top" wrapText="1"/>
    </xf>
    <xf numFmtId="0" fontId="31" fillId="6" borderId="42" xfId="0" applyFont="1" applyFill="1" applyBorder="1" applyAlignment="1">
      <alignment horizontal="center" vertical="top" wrapText="1"/>
    </xf>
    <xf numFmtId="0" fontId="32" fillId="6" borderId="12" xfId="0" applyFont="1" applyFill="1" applyBorder="1" applyAlignment="1">
      <alignment horizontal="justify" vertical="center" wrapText="1"/>
    </xf>
    <xf numFmtId="168" fontId="31" fillId="6" borderId="43" xfId="0" applyNumberFormat="1" applyFont="1" applyFill="1" applyBorder="1" applyAlignment="1">
      <alignment vertical="center"/>
    </xf>
    <xf numFmtId="0" fontId="31" fillId="0" borderId="42" xfId="0" applyFont="1" applyBorder="1" applyAlignment="1">
      <alignment horizontal="center" vertical="center"/>
    </xf>
    <xf numFmtId="0" fontId="32" fillId="0" borderId="12" xfId="0" applyFont="1" applyBorder="1" applyAlignment="1">
      <alignment horizontal="center"/>
    </xf>
    <xf numFmtId="43" fontId="31" fillId="3" borderId="12" xfId="0" applyNumberFormat="1" applyFont="1" applyFill="1" applyBorder="1" applyAlignment="1">
      <alignment vertical="center"/>
    </xf>
    <xf numFmtId="0" fontId="32" fillId="16" borderId="42" xfId="0" applyFont="1" applyFill="1" applyBorder="1" applyAlignment="1">
      <alignment horizontal="center" vertical="center"/>
    </xf>
    <xf numFmtId="0" fontId="31" fillId="16" borderId="12" xfId="0" applyFont="1" applyFill="1" applyBorder="1" applyAlignment="1">
      <alignment horizontal="center" vertical="top" wrapText="1"/>
    </xf>
    <xf numFmtId="0" fontId="32" fillId="16" borderId="12" xfId="0" applyFont="1" applyFill="1" applyBorder="1" applyAlignment="1">
      <alignment horizontal="center"/>
    </xf>
    <xf numFmtId="0" fontId="32" fillId="16" borderId="12" xfId="0" applyFont="1" applyFill="1" applyBorder="1" applyAlignment="1">
      <alignment horizontal="left" vertical="center" wrapText="1"/>
    </xf>
    <xf numFmtId="0" fontId="31" fillId="0" borderId="12" xfId="0" applyFont="1" applyBorder="1" applyAlignment="1">
      <alignment horizontal="center" vertical="center"/>
    </xf>
    <xf numFmtId="0" fontId="42" fillId="0" borderId="12" xfId="0" applyFont="1" applyBorder="1" applyAlignment="1">
      <alignment horizontal="justify" vertical="top" wrapText="1"/>
    </xf>
    <xf numFmtId="168" fontId="31" fillId="3" borderId="12" xfId="0" applyNumberFormat="1" applyFont="1" applyFill="1" applyBorder="1" applyAlignment="1">
      <alignment vertical="center"/>
    </xf>
    <xf numFmtId="43" fontId="32" fillId="3" borderId="12" xfId="0" applyNumberFormat="1" applyFont="1" applyFill="1" applyBorder="1" applyAlignment="1">
      <alignment vertical="center"/>
    </xf>
    <xf numFmtId="0" fontId="30" fillId="3" borderId="41" xfId="0" applyFont="1" applyFill="1" applyBorder="1" applyAlignment="1">
      <alignment horizontal="center" vertical="center" wrapText="1"/>
    </xf>
    <xf numFmtId="0" fontId="31" fillId="16" borderId="12" xfId="0" applyFont="1" applyFill="1" applyBorder="1" applyAlignment="1">
      <alignment horizontal="center"/>
    </xf>
    <xf numFmtId="0" fontId="40" fillId="16" borderId="12" xfId="0" applyFont="1" applyFill="1" applyBorder="1" applyAlignment="1">
      <alignment horizontal="justify" vertical="center" wrapText="1"/>
    </xf>
    <xf numFmtId="0" fontId="30" fillId="3" borderId="46" xfId="0" applyFont="1" applyFill="1" applyBorder="1" applyAlignment="1">
      <alignment horizontal="center" vertical="center" wrapText="1"/>
    </xf>
    <xf numFmtId="0" fontId="42" fillId="0" borderId="47" xfId="0" applyFont="1" applyBorder="1" applyAlignment="1">
      <alignment horizontal="center" vertical="center"/>
    </xf>
    <xf numFmtId="0" fontId="42" fillId="0" borderId="48" xfId="0" applyFont="1" applyBorder="1" applyAlignment="1">
      <alignment horizontal="center" vertical="center"/>
    </xf>
    <xf numFmtId="0" fontId="42" fillId="0" borderId="49" xfId="0" applyFont="1" applyBorder="1" applyAlignment="1">
      <alignment horizontal="center" vertical="center"/>
    </xf>
    <xf numFmtId="0" fontId="32" fillId="0" borderId="50" xfId="0" applyFont="1" applyBorder="1" applyAlignment="1">
      <alignment horizontal="center" vertical="center"/>
    </xf>
    <xf numFmtId="0" fontId="31" fillId="0" borderId="51" xfId="0" applyFont="1" applyBorder="1" applyAlignment="1">
      <alignment vertical="center"/>
    </xf>
    <xf numFmtId="0" fontId="46" fillId="0" borderId="0" xfId="0" applyFont="1"/>
    <xf numFmtId="0" fontId="47" fillId="0" borderId="0" xfId="0" applyFont="1"/>
    <xf numFmtId="0" fontId="47" fillId="0" borderId="0" xfId="0" applyFont="1" applyAlignment="1">
      <alignment horizontal="center"/>
    </xf>
    <xf numFmtId="0" fontId="48" fillId="0" borderId="0" xfId="0" applyFont="1" applyAlignment="1">
      <alignment horizontal="center"/>
    </xf>
    <xf numFmtId="0" fontId="3" fillId="15" borderId="1" xfId="0" applyFont="1" applyFill="1" applyBorder="1" applyAlignment="1">
      <alignment horizontal="center" vertical="center"/>
    </xf>
    <xf numFmtId="0" fontId="3" fillId="15" borderId="2" xfId="0" applyFont="1" applyFill="1" applyBorder="1" applyAlignment="1">
      <alignment horizontal="center" vertical="center"/>
    </xf>
    <xf numFmtId="0" fontId="3" fillId="15" borderId="3" xfId="0" applyFont="1" applyFill="1" applyBorder="1" applyAlignment="1">
      <alignment horizontal="center" vertical="center"/>
    </xf>
    <xf numFmtId="43" fontId="3" fillId="15" borderId="4" xfId="0" applyNumberFormat="1" applyFont="1" applyFill="1" applyBorder="1" applyAlignment="1">
      <alignment horizontal="center" vertical="center" wrapText="1"/>
    </xf>
    <xf numFmtId="43" fontId="3" fillId="15" borderId="5" xfId="0" applyNumberFormat="1" applyFont="1" applyFill="1" applyBorder="1" applyAlignment="1">
      <alignment horizontal="center" vertical="center" wrapText="1"/>
    </xf>
    <xf numFmtId="43" fontId="3" fillId="15" borderId="3" xfId="0" applyNumberFormat="1" applyFont="1" applyFill="1" applyBorder="1" applyAlignment="1">
      <alignment horizontal="center" vertical="center" wrapText="1"/>
    </xf>
    <xf numFmtId="0" fontId="3" fillId="15" borderId="3" xfId="0" applyFont="1" applyFill="1" applyBorder="1" applyAlignment="1">
      <alignment horizontal="center" vertical="center" wrapText="1"/>
    </xf>
    <xf numFmtId="0" fontId="4" fillId="15" borderId="3" xfId="0" applyFont="1" applyFill="1" applyBorder="1" applyAlignment="1">
      <alignment horizontal="center" vertical="center" wrapText="1"/>
    </xf>
    <xf numFmtId="0" fontId="3" fillId="15" borderId="6" xfId="0" applyFont="1" applyFill="1" applyBorder="1" applyAlignment="1">
      <alignment horizontal="center" vertical="center"/>
    </xf>
    <xf numFmtId="0" fontId="3" fillId="15" borderId="7" xfId="0" applyFont="1" applyFill="1" applyBorder="1" applyAlignment="1">
      <alignment horizontal="center" vertical="center"/>
    </xf>
    <xf numFmtId="0" fontId="3" fillId="15" borderId="8" xfId="0" applyFont="1" applyFill="1" applyBorder="1" applyAlignment="1">
      <alignment horizontal="center" vertical="center"/>
    </xf>
    <xf numFmtId="0" fontId="3" fillId="15" borderId="9" xfId="0" applyFont="1" applyFill="1" applyBorder="1" applyAlignment="1">
      <alignment horizontal="center" vertical="center" wrapText="1"/>
    </xf>
    <xf numFmtId="43" fontId="3" fillId="15" borderId="8" xfId="0" applyNumberFormat="1" applyFont="1" applyFill="1" applyBorder="1" applyAlignment="1">
      <alignment horizontal="center" vertical="center" wrapText="1"/>
    </xf>
    <xf numFmtId="0" fontId="3" fillId="15" borderId="8" xfId="0" applyFont="1" applyFill="1" applyBorder="1" applyAlignment="1">
      <alignment horizontal="center" vertical="center" wrapText="1"/>
    </xf>
    <xf numFmtId="0" fontId="4" fillId="15" borderId="8" xfId="0" applyFont="1" applyFill="1" applyBorder="1" applyAlignment="1">
      <alignment horizontal="center" vertical="center" wrapText="1"/>
    </xf>
  </cellXfs>
  <cellStyles count="4">
    <cellStyle name="Comma" xfId="1" builtinId="3"/>
    <cellStyle name="Comma [0] 3" xf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ATA%20DATA%20APBDES%20PER%20TAHUN\DATA%202026\Penjabaran%20APBDES%202026%20FIX%20(1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ATA%20DATA%20APBDES%20PER%20TAHUN\DATA%202026\RANCANGAN%20APBDES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njabaran APBDES "/>
      <sheetName val="PER SD"/>
      <sheetName val="lamp 1b"/>
      <sheetName val="LAMP 1A"/>
      <sheetName val="Sheet2"/>
      <sheetName val="PERUBAHAN APBDES 2-26"/>
      <sheetName val="Sheet5"/>
      <sheetName val="Dana Cadangan"/>
      <sheetName val="Notulen"/>
      <sheetName val="Sheet4"/>
      <sheetName val="%"/>
      <sheetName val="Sheet1"/>
    </sheetNames>
    <sheetDataSet>
      <sheetData sheetId="0"/>
      <sheetData sheetId="1">
        <row r="108">
          <cell r="D108">
            <v>14665482.619999999</v>
          </cell>
        </row>
        <row r="109">
          <cell r="D109">
            <v>40353098</v>
          </cell>
        </row>
        <row r="110">
          <cell r="D110">
            <v>43617237.259999998</v>
          </cell>
        </row>
        <row r="111">
          <cell r="D111">
            <v>3041158.8</v>
          </cell>
        </row>
      </sheetData>
      <sheetData sheetId="2">
        <row r="321">
          <cell r="C321" t="str">
            <v>Sub Bidang Pekerjaan Umum dan Penataan Ruang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PBDES 1A"/>
      <sheetName val="APBDES 1B"/>
      <sheetName val="Sheet1"/>
      <sheetName val="APBDES PERUBAHAN"/>
      <sheetName val="penjabaran apbdes"/>
      <sheetName val="Sheet2"/>
      <sheetName val="RKPDes 2025"/>
      <sheetName val="DU RKP"/>
      <sheetName val="silpa"/>
      <sheetName val="DATA ERMAX"/>
    </sheetNames>
    <sheetDataSet>
      <sheetData sheetId="0"/>
      <sheetData sheetId="1"/>
      <sheetData sheetId="2"/>
      <sheetData sheetId="3"/>
      <sheetData sheetId="4">
        <row r="37">
          <cell r="M37">
            <v>50400000</v>
          </cell>
        </row>
        <row r="41">
          <cell r="M41">
            <v>297600000</v>
          </cell>
        </row>
        <row r="52">
          <cell r="M52">
            <v>23464000</v>
          </cell>
        </row>
        <row r="55">
          <cell r="M55">
            <v>119299279.42</v>
          </cell>
        </row>
        <row r="111">
          <cell r="M111">
            <v>1200000</v>
          </cell>
        </row>
        <row r="113">
          <cell r="M113">
            <v>4000000</v>
          </cell>
        </row>
        <row r="126">
          <cell r="M126">
            <v>5400000</v>
          </cell>
        </row>
        <row r="131">
          <cell r="M131">
            <v>9500000</v>
          </cell>
        </row>
        <row r="135">
          <cell r="M135">
            <v>15000000</v>
          </cell>
        </row>
        <row r="136">
          <cell r="M136">
            <v>7350000</v>
          </cell>
        </row>
        <row r="154">
          <cell r="M154">
            <v>32867000</v>
          </cell>
        </row>
        <row r="162">
          <cell r="M162">
            <v>5727000</v>
          </cell>
        </row>
        <row r="193">
          <cell r="M193">
            <v>7500000</v>
          </cell>
        </row>
        <row r="196">
          <cell r="M196">
            <v>819365000</v>
          </cell>
        </row>
        <row r="200">
          <cell r="M200">
            <v>26160000</v>
          </cell>
        </row>
        <row r="204">
          <cell r="M204">
            <v>111900000</v>
          </cell>
        </row>
        <row r="211">
          <cell r="M211">
            <v>103900000</v>
          </cell>
        </row>
        <row r="237">
          <cell r="M237">
            <v>681305000</v>
          </cell>
        </row>
        <row r="238">
          <cell r="M238">
            <v>518642725</v>
          </cell>
        </row>
        <row r="239">
          <cell r="M239">
            <v>178589550</v>
          </cell>
        </row>
        <row r="241">
          <cell r="M241">
            <v>138377425</v>
          </cell>
        </row>
        <row r="243">
          <cell r="M243">
            <v>201675750</v>
          </cell>
        </row>
        <row r="247">
          <cell r="M247">
            <v>142662275</v>
          </cell>
        </row>
        <row r="248">
          <cell r="M248">
            <v>142662275</v>
          </cell>
        </row>
        <row r="257">
          <cell r="M257">
            <v>283950000</v>
          </cell>
        </row>
        <row r="268">
          <cell r="M268">
            <v>211000000</v>
          </cell>
        </row>
        <row r="302">
          <cell r="M302">
            <v>34200000</v>
          </cell>
        </row>
        <row r="321">
          <cell r="M321">
            <v>65787237.259999998</v>
          </cell>
        </row>
        <row r="322">
          <cell r="M322">
            <v>20000000</v>
          </cell>
        </row>
        <row r="332">
          <cell r="M332">
            <v>11037000</v>
          </cell>
        </row>
        <row r="354">
          <cell r="M354">
            <v>24750237.259999998</v>
          </cell>
        </row>
        <row r="373">
          <cell r="M373">
            <v>25200000</v>
          </cell>
        </row>
      </sheetData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45"/>
  <sheetViews>
    <sheetView tabSelected="1" zoomScale="52" zoomScaleNormal="52" workbookViewId="0">
      <selection activeCell="A10" sqref="A10:G10"/>
    </sheetView>
  </sheetViews>
  <sheetFormatPr defaultRowHeight="14.4" x14ac:dyDescent="0.3"/>
  <cols>
    <col min="1" max="1" width="13.5546875" customWidth="1"/>
    <col min="2" max="2" width="12.88671875" customWidth="1"/>
    <col min="3" max="3" width="89.44140625" customWidth="1"/>
    <col min="4" max="5" width="32" customWidth="1"/>
    <col min="6" max="6" width="29.6640625" customWidth="1"/>
    <col min="7" max="7" width="17.6640625" customWidth="1"/>
    <col min="8" max="8" width="9.6640625" customWidth="1"/>
  </cols>
  <sheetData>
    <row r="1" spans="1:8" ht="21" x14ac:dyDescent="0.4">
      <c r="A1" s="1"/>
      <c r="B1" s="1"/>
      <c r="C1" s="2" t="s">
        <v>0</v>
      </c>
      <c r="D1" s="3"/>
      <c r="E1" s="3"/>
      <c r="F1" s="3"/>
      <c r="G1" s="3"/>
      <c r="H1" s="4"/>
    </row>
    <row r="2" spans="1:8" ht="21" x14ac:dyDescent="0.4">
      <c r="A2" s="1"/>
      <c r="B2" s="1"/>
      <c r="C2" s="5" t="s">
        <v>1</v>
      </c>
      <c r="D2" s="3"/>
      <c r="E2" s="3"/>
      <c r="F2" s="3"/>
      <c r="G2" s="3"/>
      <c r="H2" s="4"/>
    </row>
    <row r="3" spans="1:8" ht="21" x14ac:dyDescent="0.4">
      <c r="A3" s="1"/>
      <c r="B3" s="1"/>
      <c r="C3" s="2" t="s">
        <v>502</v>
      </c>
      <c r="D3" s="3"/>
      <c r="E3" s="3"/>
      <c r="F3" s="3"/>
      <c r="G3" s="3"/>
      <c r="H3" s="4"/>
    </row>
    <row r="4" spans="1:8" ht="21" x14ac:dyDescent="0.4">
      <c r="A4" s="1"/>
      <c r="B4" s="1"/>
      <c r="C4" s="5" t="s">
        <v>2</v>
      </c>
      <c r="D4" s="3"/>
      <c r="E4" s="3"/>
      <c r="F4" s="3"/>
      <c r="G4" s="3"/>
      <c r="H4" s="4"/>
    </row>
    <row r="5" spans="1:8" ht="21" x14ac:dyDescent="0.4">
      <c r="A5" s="1"/>
      <c r="B5" s="1"/>
      <c r="C5" s="2" t="s">
        <v>3</v>
      </c>
      <c r="D5" s="3"/>
      <c r="E5" s="3"/>
      <c r="F5" s="3"/>
      <c r="G5" s="3"/>
      <c r="H5" s="4"/>
    </row>
    <row r="6" spans="1:8" ht="21" x14ac:dyDescent="0.4">
      <c r="A6" s="1"/>
      <c r="B6" s="1"/>
      <c r="C6" s="5" t="s">
        <v>1</v>
      </c>
      <c r="D6" s="3"/>
      <c r="E6" s="3"/>
      <c r="F6" s="3"/>
      <c r="G6" s="3"/>
      <c r="H6" s="4"/>
    </row>
    <row r="7" spans="1:8" ht="21" x14ac:dyDescent="0.4">
      <c r="A7" s="6"/>
      <c r="B7" s="6"/>
      <c r="C7" s="6"/>
      <c r="D7" s="6"/>
      <c r="E7" s="6"/>
      <c r="F7" s="6"/>
      <c r="G7" s="6"/>
      <c r="H7" s="4"/>
    </row>
    <row r="8" spans="1:8" ht="21" x14ac:dyDescent="0.4">
      <c r="A8" s="7" t="s">
        <v>402</v>
      </c>
      <c r="B8" s="8"/>
      <c r="C8" s="8"/>
      <c r="D8" s="8"/>
      <c r="E8" s="8"/>
      <c r="F8" s="8"/>
      <c r="G8" s="8"/>
      <c r="H8" s="4"/>
    </row>
    <row r="9" spans="1:8" ht="21" x14ac:dyDescent="0.4">
      <c r="A9" s="9" t="s">
        <v>4</v>
      </c>
      <c r="B9" s="10"/>
      <c r="C9" s="10"/>
      <c r="D9" s="10"/>
      <c r="E9" s="10"/>
      <c r="F9" s="10"/>
      <c r="G9" s="10"/>
      <c r="H9" s="4"/>
    </row>
    <row r="10" spans="1:8" ht="21" x14ac:dyDescent="0.4">
      <c r="A10" s="7" t="s">
        <v>5</v>
      </c>
      <c r="B10" s="8"/>
      <c r="C10" s="8"/>
      <c r="D10" s="8"/>
      <c r="E10" s="8"/>
      <c r="F10" s="8"/>
      <c r="G10" s="8"/>
      <c r="H10" s="4"/>
    </row>
    <row r="11" spans="1:8" ht="21" x14ac:dyDescent="0.4">
      <c r="A11" s="1"/>
      <c r="B11" s="1"/>
      <c r="C11" s="1"/>
      <c r="D11" s="3"/>
      <c r="E11" s="3"/>
      <c r="F11" s="3"/>
      <c r="G11" s="3"/>
      <c r="H11" s="4"/>
    </row>
    <row r="12" spans="1:8" ht="28.8" customHeight="1" x14ac:dyDescent="0.3">
      <c r="A12" s="520" t="s">
        <v>6</v>
      </c>
      <c r="B12" s="521"/>
      <c r="C12" s="522" t="s">
        <v>7</v>
      </c>
      <c r="D12" s="523" t="s">
        <v>8</v>
      </c>
      <c r="E12" s="524"/>
      <c r="F12" s="525" t="s">
        <v>9</v>
      </c>
      <c r="G12" s="526" t="s">
        <v>10</v>
      </c>
      <c r="H12" s="527" t="s">
        <v>11</v>
      </c>
    </row>
    <row r="13" spans="1:8" ht="22.2" customHeight="1" x14ac:dyDescent="0.3">
      <c r="A13" s="528"/>
      <c r="B13" s="529"/>
      <c r="C13" s="530"/>
      <c r="D13" s="531" t="s">
        <v>12</v>
      </c>
      <c r="E13" s="531" t="s">
        <v>13</v>
      </c>
      <c r="F13" s="532"/>
      <c r="G13" s="533"/>
      <c r="H13" s="534"/>
    </row>
    <row r="14" spans="1:8" ht="21" x14ac:dyDescent="0.3">
      <c r="A14" s="15">
        <v>1</v>
      </c>
      <c r="B14" s="15">
        <v>2</v>
      </c>
      <c r="C14" s="15">
        <v>3</v>
      </c>
      <c r="D14" s="16">
        <v>5</v>
      </c>
      <c r="E14" s="16"/>
      <c r="F14" s="16"/>
      <c r="G14" s="16">
        <v>7</v>
      </c>
      <c r="H14" s="17"/>
    </row>
    <row r="15" spans="1:8" ht="21" x14ac:dyDescent="0.4">
      <c r="A15" s="18"/>
      <c r="B15" s="19" t="s">
        <v>14</v>
      </c>
      <c r="C15" s="18" t="s">
        <v>15</v>
      </c>
      <c r="D15" s="20"/>
      <c r="E15" s="20"/>
      <c r="F15" s="20"/>
      <c r="G15" s="20"/>
      <c r="H15" s="21"/>
    </row>
    <row r="16" spans="1:8" ht="21" x14ac:dyDescent="0.4">
      <c r="A16" s="18"/>
      <c r="B16" s="19" t="s">
        <v>16</v>
      </c>
      <c r="C16" s="18" t="s">
        <v>17</v>
      </c>
      <c r="D16" s="22">
        <f>D17+D19</f>
        <v>45000000</v>
      </c>
      <c r="E16" s="22">
        <f>D16</f>
        <v>45000000</v>
      </c>
      <c r="F16" s="22">
        <f>D16-E16</f>
        <v>0</v>
      </c>
      <c r="G16" s="20" t="s">
        <v>18</v>
      </c>
      <c r="H16" s="21"/>
    </row>
    <row r="17" spans="1:8" ht="21" x14ac:dyDescent="0.4">
      <c r="A17" s="23"/>
      <c r="B17" s="24" t="s">
        <v>19</v>
      </c>
      <c r="C17" s="23" t="s">
        <v>20</v>
      </c>
      <c r="D17" s="25">
        <v>0</v>
      </c>
      <c r="E17" s="25"/>
      <c r="F17" s="25"/>
      <c r="G17" s="20" t="s">
        <v>18</v>
      </c>
      <c r="H17" s="21"/>
    </row>
    <row r="18" spans="1:8" ht="21" x14ac:dyDescent="0.4">
      <c r="A18" s="23"/>
      <c r="B18" s="24" t="s">
        <v>21</v>
      </c>
      <c r="C18" s="23" t="s">
        <v>22</v>
      </c>
      <c r="D18" s="25">
        <v>0</v>
      </c>
      <c r="E18" s="25"/>
      <c r="F18" s="25"/>
      <c r="G18" s="20"/>
      <c r="H18" s="21"/>
    </row>
    <row r="19" spans="1:8" ht="21" x14ac:dyDescent="0.4">
      <c r="A19" s="23"/>
      <c r="B19" s="24" t="s">
        <v>23</v>
      </c>
      <c r="C19" s="23" t="s">
        <v>24</v>
      </c>
      <c r="D19" s="25">
        <f>D20</f>
        <v>45000000</v>
      </c>
      <c r="E19" s="25">
        <f>D19</f>
        <v>45000000</v>
      </c>
      <c r="F19" s="25"/>
      <c r="G19" s="20" t="s">
        <v>18</v>
      </c>
      <c r="H19" s="21"/>
    </row>
    <row r="20" spans="1:8" ht="21" x14ac:dyDescent="0.4">
      <c r="A20" s="23"/>
      <c r="B20" s="24" t="s">
        <v>25</v>
      </c>
      <c r="C20" s="18" t="s">
        <v>26</v>
      </c>
      <c r="D20" s="22">
        <f>SUM(D21:D22)</f>
        <v>45000000</v>
      </c>
      <c r="E20" s="22">
        <f>D20</f>
        <v>45000000</v>
      </c>
      <c r="F20" s="22"/>
      <c r="G20" s="20" t="s">
        <v>18</v>
      </c>
      <c r="H20" s="21"/>
    </row>
    <row r="21" spans="1:8" ht="21" x14ac:dyDescent="0.4">
      <c r="A21" s="23"/>
      <c r="B21" s="23"/>
      <c r="C21" s="24" t="s">
        <v>27</v>
      </c>
      <c r="D21" s="25">
        <v>45000000</v>
      </c>
      <c r="E21" s="25">
        <f>D21</f>
        <v>45000000</v>
      </c>
      <c r="F21" s="25"/>
      <c r="G21" s="20" t="s">
        <v>18</v>
      </c>
      <c r="H21" s="21"/>
    </row>
    <row r="22" spans="1:8" ht="21" x14ac:dyDescent="0.4">
      <c r="A22" s="23"/>
      <c r="B22" s="23"/>
      <c r="C22" s="23"/>
      <c r="D22" s="25"/>
      <c r="E22" s="25"/>
      <c r="F22" s="25"/>
      <c r="G22" s="20"/>
      <c r="H22" s="21"/>
    </row>
    <row r="23" spans="1:8" ht="21" x14ac:dyDescent="0.4">
      <c r="A23" s="23"/>
      <c r="B23" s="23"/>
      <c r="C23" s="23"/>
      <c r="D23" s="25"/>
      <c r="E23" s="25"/>
      <c r="F23" s="25"/>
      <c r="G23" s="20"/>
      <c r="H23" s="21"/>
    </row>
    <row r="24" spans="1:8" ht="21" x14ac:dyDescent="0.4">
      <c r="A24" s="18"/>
      <c r="B24" s="19" t="s">
        <v>28</v>
      </c>
      <c r="C24" s="18" t="s">
        <v>29</v>
      </c>
      <c r="D24" s="22">
        <f>SUM(D25:D27)</f>
        <v>1962205500</v>
      </c>
      <c r="E24" s="22">
        <f>E25+E26+E27</f>
        <v>984639500</v>
      </c>
      <c r="F24" s="22">
        <f>D24-E24</f>
        <v>977566000</v>
      </c>
      <c r="G24" s="20"/>
      <c r="H24" s="21"/>
    </row>
    <row r="25" spans="1:8" ht="21" x14ac:dyDescent="0.4">
      <c r="A25" s="23"/>
      <c r="B25" s="24" t="s">
        <v>30</v>
      </c>
      <c r="C25" s="23" t="s">
        <v>31</v>
      </c>
      <c r="D25" s="25">
        <v>1235902000</v>
      </c>
      <c r="E25" s="25">
        <v>373456000</v>
      </c>
      <c r="F25" s="25">
        <f>D25-E25</f>
        <v>862446000</v>
      </c>
      <c r="G25" s="20" t="s">
        <v>32</v>
      </c>
      <c r="H25" s="21"/>
    </row>
    <row r="26" spans="1:8" ht="21" x14ac:dyDescent="0.4">
      <c r="A26" s="23"/>
      <c r="B26" s="24" t="s">
        <v>33</v>
      </c>
      <c r="C26" s="23" t="s">
        <v>34</v>
      </c>
      <c r="D26" s="25">
        <v>70500000</v>
      </c>
      <c r="E26" s="25">
        <f>D26</f>
        <v>70500000</v>
      </c>
      <c r="F26" s="25">
        <f>D26-E26</f>
        <v>0</v>
      </c>
      <c r="G26" s="20" t="s">
        <v>35</v>
      </c>
      <c r="H26" s="21"/>
    </row>
    <row r="27" spans="1:8" ht="21" x14ac:dyDescent="0.4">
      <c r="A27" s="23"/>
      <c r="B27" s="24" t="s">
        <v>36</v>
      </c>
      <c r="C27" s="23" t="s">
        <v>37</v>
      </c>
      <c r="D27" s="25">
        <v>655803500</v>
      </c>
      <c r="E27" s="26">
        <v>540683500</v>
      </c>
      <c r="F27" s="26">
        <f>D27-E27</f>
        <v>115120000</v>
      </c>
      <c r="G27" s="20" t="s">
        <v>38</v>
      </c>
      <c r="H27" s="21"/>
    </row>
    <row r="28" spans="1:8" ht="21" x14ac:dyDescent="0.4">
      <c r="A28" s="23"/>
      <c r="B28" s="23"/>
      <c r="C28" s="23"/>
      <c r="D28" s="25"/>
      <c r="E28" s="25"/>
      <c r="F28" s="25"/>
      <c r="G28" s="20"/>
      <c r="H28" s="21"/>
    </row>
    <row r="29" spans="1:8" ht="21" x14ac:dyDescent="0.4">
      <c r="A29" s="18"/>
      <c r="B29" s="19" t="s">
        <v>39</v>
      </c>
      <c r="C29" s="18" t="s">
        <v>40</v>
      </c>
      <c r="D29" s="22">
        <f>D30+D31</f>
        <v>3000000</v>
      </c>
      <c r="E29" s="22">
        <v>3000000</v>
      </c>
      <c r="F29" s="22">
        <f>D29-E29</f>
        <v>0</v>
      </c>
      <c r="G29" s="20" t="s">
        <v>41</v>
      </c>
      <c r="H29" s="21"/>
    </row>
    <row r="30" spans="1:8" ht="21" x14ac:dyDescent="0.4">
      <c r="A30" s="23"/>
      <c r="B30" s="27" t="s">
        <v>42</v>
      </c>
      <c r="C30" s="23" t="s">
        <v>43</v>
      </c>
      <c r="D30" s="25">
        <v>0</v>
      </c>
      <c r="E30" s="25"/>
      <c r="F30" s="25"/>
      <c r="G30" s="20" t="s">
        <v>41</v>
      </c>
      <c r="H30" s="21"/>
    </row>
    <row r="31" spans="1:8" ht="21" x14ac:dyDescent="0.4">
      <c r="A31" s="28"/>
      <c r="B31" s="23" t="s">
        <v>44</v>
      </c>
      <c r="C31" s="23" t="s">
        <v>45</v>
      </c>
      <c r="D31" s="25">
        <v>3000000</v>
      </c>
      <c r="E31" s="25">
        <v>3000000</v>
      </c>
      <c r="F31" s="25"/>
      <c r="G31" s="29" t="s">
        <v>41</v>
      </c>
      <c r="H31" s="30"/>
    </row>
    <row r="32" spans="1:8" ht="21" x14ac:dyDescent="0.4">
      <c r="A32" s="18"/>
      <c r="B32" s="18"/>
      <c r="C32" s="18" t="s">
        <v>46</v>
      </c>
      <c r="D32" s="22">
        <f>D16+D24+D29</f>
        <v>2010205500</v>
      </c>
      <c r="E32" s="22">
        <f>E16+E24+E29</f>
        <v>1032639500</v>
      </c>
      <c r="F32" s="22">
        <f>D32-E32</f>
        <v>977566000</v>
      </c>
      <c r="G32" s="20"/>
      <c r="H32" s="21"/>
    </row>
    <row r="33" spans="1:8" ht="21" x14ac:dyDescent="0.4">
      <c r="A33" s="23"/>
      <c r="B33" s="23"/>
      <c r="C33" s="23"/>
      <c r="D33" s="25"/>
      <c r="E33" s="25"/>
      <c r="F33" s="25"/>
      <c r="G33" s="20"/>
      <c r="H33" s="21"/>
    </row>
    <row r="34" spans="1:8" ht="21" x14ac:dyDescent="0.4">
      <c r="A34" s="18"/>
      <c r="B34" s="19" t="s">
        <v>47</v>
      </c>
      <c r="C34" s="18" t="s">
        <v>48</v>
      </c>
      <c r="D34" s="22"/>
      <c r="E34" s="22"/>
      <c r="F34" s="22"/>
      <c r="G34" s="20"/>
      <c r="H34" s="21"/>
    </row>
    <row r="35" spans="1:8" ht="21" x14ac:dyDescent="0.4">
      <c r="A35" s="31" t="s">
        <v>49</v>
      </c>
      <c r="B35" s="32"/>
      <c r="C35" s="32" t="s">
        <v>50</v>
      </c>
      <c r="D35" s="33">
        <f>D36+D151+D160+D171+D206+D211</f>
        <v>863940239.42000008</v>
      </c>
      <c r="E35" s="33">
        <f>E36+E160+E171+E211+E209</f>
        <v>719520239.42000008</v>
      </c>
      <c r="F35" s="33">
        <f>F110+F151+F160</f>
        <v>144420000</v>
      </c>
      <c r="G35" s="34"/>
      <c r="H35" s="21"/>
    </row>
    <row r="36" spans="1:8" ht="40.799999999999997" x14ac:dyDescent="0.3">
      <c r="A36" s="35" t="s">
        <v>51</v>
      </c>
      <c r="B36" s="36"/>
      <c r="C36" s="37" t="s">
        <v>52</v>
      </c>
      <c r="D36" s="38">
        <f>D37+D42+D53+D89+D95+D103+D131+D47+D139+D145+D110</f>
        <v>704243239.42000008</v>
      </c>
      <c r="E36" s="38">
        <f>E37+E42+E53+E89+E95+E103+E131+E47+E139+E145+E110</f>
        <v>678443239.42000008</v>
      </c>
      <c r="F36" s="38"/>
      <c r="G36" s="39"/>
      <c r="H36" s="40"/>
    </row>
    <row r="37" spans="1:8" ht="21" x14ac:dyDescent="0.4">
      <c r="A37" s="41" t="s">
        <v>53</v>
      </c>
      <c r="B37" s="42"/>
      <c r="C37" s="42" t="s">
        <v>54</v>
      </c>
      <c r="D37" s="43">
        <f t="shared" ref="D37:E39" si="0">D38</f>
        <v>51600000</v>
      </c>
      <c r="E37" s="43">
        <f t="shared" si="0"/>
        <v>51600000</v>
      </c>
      <c r="F37" s="43"/>
      <c r="G37" s="44" t="s">
        <v>38</v>
      </c>
      <c r="H37" s="45"/>
    </row>
    <row r="38" spans="1:8" ht="21" x14ac:dyDescent="0.4">
      <c r="A38" s="46" t="s">
        <v>55</v>
      </c>
      <c r="B38" s="46" t="s">
        <v>56</v>
      </c>
      <c r="C38" s="47" t="s">
        <v>57</v>
      </c>
      <c r="D38" s="48">
        <f t="shared" si="0"/>
        <v>51600000</v>
      </c>
      <c r="E38" s="48">
        <f t="shared" si="0"/>
        <v>51600000</v>
      </c>
      <c r="F38" s="48"/>
      <c r="G38" s="20"/>
      <c r="H38" s="49"/>
    </row>
    <row r="39" spans="1:8" ht="21" x14ac:dyDescent="0.4">
      <c r="A39" s="24" t="s">
        <v>55</v>
      </c>
      <c r="B39" s="24" t="s">
        <v>58</v>
      </c>
      <c r="C39" s="23" t="s">
        <v>54</v>
      </c>
      <c r="D39" s="25">
        <f t="shared" si="0"/>
        <v>51600000</v>
      </c>
      <c r="E39" s="25">
        <f t="shared" si="0"/>
        <v>51600000</v>
      </c>
      <c r="F39" s="25"/>
      <c r="G39" s="20"/>
      <c r="H39" s="50"/>
    </row>
    <row r="40" spans="1:8" ht="21" x14ac:dyDescent="0.4">
      <c r="A40" s="24" t="s">
        <v>55</v>
      </c>
      <c r="B40" s="24" t="s">
        <v>59</v>
      </c>
      <c r="C40" s="23" t="s">
        <v>60</v>
      </c>
      <c r="D40" s="51">
        <v>51600000</v>
      </c>
      <c r="E40" s="51">
        <v>51600000</v>
      </c>
      <c r="F40" s="51"/>
      <c r="G40" s="20"/>
      <c r="H40" s="52"/>
    </row>
    <row r="41" spans="1:8" ht="21" x14ac:dyDescent="0.4">
      <c r="A41" s="23"/>
      <c r="B41" s="23"/>
      <c r="C41" s="23"/>
      <c r="D41" s="25"/>
      <c r="E41" s="25"/>
      <c r="F41" s="25"/>
      <c r="G41" s="20"/>
      <c r="H41" s="21"/>
    </row>
    <row r="42" spans="1:8" ht="21" x14ac:dyDescent="0.4">
      <c r="A42" s="41" t="s">
        <v>61</v>
      </c>
      <c r="B42" s="42"/>
      <c r="C42" s="42" t="s">
        <v>62</v>
      </c>
      <c r="D42" s="43">
        <f t="shared" ref="D42:E44" si="1">D43</f>
        <v>308400000</v>
      </c>
      <c r="E42" s="43">
        <f t="shared" si="1"/>
        <v>308400000</v>
      </c>
      <c r="F42" s="43"/>
      <c r="G42" s="44" t="s">
        <v>38</v>
      </c>
      <c r="H42" s="45"/>
    </row>
    <row r="43" spans="1:8" ht="21" x14ac:dyDescent="0.4">
      <c r="A43" s="47"/>
      <c r="B43" s="46" t="s">
        <v>56</v>
      </c>
      <c r="C43" s="47" t="s">
        <v>57</v>
      </c>
      <c r="D43" s="48">
        <f t="shared" si="1"/>
        <v>308400000</v>
      </c>
      <c r="E43" s="48">
        <f t="shared" si="1"/>
        <v>308400000</v>
      </c>
      <c r="F43" s="48"/>
      <c r="G43" s="20"/>
      <c r="H43" s="53"/>
    </row>
    <row r="44" spans="1:8" ht="21" x14ac:dyDescent="0.4">
      <c r="A44" s="23"/>
      <c r="B44" s="24" t="s">
        <v>58</v>
      </c>
      <c r="C44" s="23" t="s">
        <v>62</v>
      </c>
      <c r="D44" s="25">
        <f t="shared" si="1"/>
        <v>308400000</v>
      </c>
      <c r="E44" s="25">
        <f t="shared" si="1"/>
        <v>308400000</v>
      </c>
      <c r="F44" s="25"/>
      <c r="G44" s="20"/>
      <c r="H44" s="21"/>
    </row>
    <row r="45" spans="1:8" ht="21" x14ac:dyDescent="0.4">
      <c r="A45" s="23"/>
      <c r="B45" s="24" t="s">
        <v>59</v>
      </c>
      <c r="C45" s="23" t="s">
        <v>63</v>
      </c>
      <c r="D45" s="25">
        <v>308400000</v>
      </c>
      <c r="E45" s="25">
        <v>308400000</v>
      </c>
      <c r="F45" s="25"/>
      <c r="G45" s="20"/>
      <c r="H45" s="21"/>
    </row>
    <row r="46" spans="1:8" ht="21" x14ac:dyDescent="0.4">
      <c r="A46" s="23"/>
      <c r="B46" s="23"/>
      <c r="C46" s="23"/>
      <c r="D46" s="25"/>
      <c r="E46" s="25"/>
      <c r="F46" s="25"/>
      <c r="G46" s="20"/>
      <c r="H46" s="21"/>
    </row>
    <row r="47" spans="1:8" ht="42" x14ac:dyDescent="0.4">
      <c r="A47" s="54" t="s">
        <v>64</v>
      </c>
      <c r="B47" s="55"/>
      <c r="C47" s="56" t="s">
        <v>65</v>
      </c>
      <c r="D47" s="57">
        <f>D48</f>
        <v>23464000</v>
      </c>
      <c r="E47" s="57">
        <f>E48</f>
        <v>23464000</v>
      </c>
      <c r="F47" s="57"/>
      <c r="G47" s="58" t="s">
        <v>66</v>
      </c>
      <c r="H47" s="21"/>
    </row>
    <row r="48" spans="1:8" ht="21" x14ac:dyDescent="0.4">
      <c r="A48" s="23"/>
      <c r="B48" s="24" t="s">
        <v>56</v>
      </c>
      <c r="C48" s="23" t="s">
        <v>57</v>
      </c>
      <c r="D48" s="25">
        <f t="shared" ref="D48:E48" si="2">D49</f>
        <v>23464000</v>
      </c>
      <c r="E48" s="25">
        <f t="shared" si="2"/>
        <v>23464000</v>
      </c>
      <c r="F48" s="25"/>
      <c r="G48" s="20"/>
      <c r="H48" s="21"/>
    </row>
    <row r="49" spans="1:8" ht="21" x14ac:dyDescent="0.4">
      <c r="A49" s="47"/>
      <c r="B49" s="46" t="s">
        <v>67</v>
      </c>
      <c r="C49" s="47" t="s">
        <v>68</v>
      </c>
      <c r="D49" s="48">
        <v>23464000</v>
      </c>
      <c r="E49" s="48">
        <v>23464000</v>
      </c>
      <c r="F49" s="48"/>
      <c r="G49" s="20"/>
      <c r="H49" s="53"/>
    </row>
    <row r="50" spans="1:8" ht="21" x14ac:dyDescent="0.4">
      <c r="A50" s="23"/>
      <c r="B50" s="24" t="s">
        <v>69</v>
      </c>
      <c r="C50" s="23" t="s">
        <v>70</v>
      </c>
      <c r="D50" s="25">
        <v>3200000</v>
      </c>
      <c r="E50" s="25">
        <v>3200000</v>
      </c>
      <c r="F50" s="25"/>
      <c r="G50" s="20"/>
      <c r="H50" s="21"/>
    </row>
    <row r="51" spans="1:8" ht="21" x14ac:dyDescent="0.4">
      <c r="A51" s="23"/>
      <c r="B51" s="24" t="s">
        <v>71</v>
      </c>
      <c r="C51" s="23" t="s">
        <v>72</v>
      </c>
      <c r="D51" s="25">
        <v>19476000</v>
      </c>
      <c r="E51" s="25">
        <v>19476000</v>
      </c>
      <c r="F51" s="25"/>
      <c r="G51" s="20"/>
      <c r="H51" s="21"/>
    </row>
    <row r="52" spans="1:8" ht="21" x14ac:dyDescent="0.4">
      <c r="A52" s="23"/>
      <c r="B52" s="23"/>
      <c r="C52" s="23"/>
      <c r="D52" s="25"/>
      <c r="E52" s="25"/>
      <c r="F52" s="25"/>
      <c r="G52" s="20"/>
      <c r="H52" s="21"/>
    </row>
    <row r="53" spans="1:8" ht="21" x14ac:dyDescent="0.4">
      <c r="A53" s="19" t="s">
        <v>73</v>
      </c>
      <c r="B53" s="18"/>
      <c r="C53" s="18" t="s">
        <v>74</v>
      </c>
      <c r="D53" s="59">
        <f>D54</f>
        <v>124139239.42</v>
      </c>
      <c r="E53" s="59">
        <f>E54</f>
        <v>124139239.42</v>
      </c>
      <c r="F53" s="59"/>
      <c r="G53" s="60"/>
      <c r="H53" s="21"/>
    </row>
    <row r="54" spans="1:8" ht="21" x14ac:dyDescent="0.4">
      <c r="A54" s="23"/>
      <c r="B54" s="24" t="s">
        <v>75</v>
      </c>
      <c r="C54" s="23" t="s">
        <v>76</v>
      </c>
      <c r="D54" s="61">
        <f>D55+D63+D66+D74+D77+D85+D82</f>
        <v>124139239.42</v>
      </c>
      <c r="E54" s="61">
        <f>E55+E63+E66+E74+E77+E85+E82</f>
        <v>124139239.42</v>
      </c>
      <c r="F54" s="61"/>
      <c r="G54" s="60"/>
      <c r="H54" s="21"/>
    </row>
    <row r="55" spans="1:8" ht="21" x14ac:dyDescent="0.4">
      <c r="A55" s="47"/>
      <c r="B55" s="46" t="s">
        <v>77</v>
      </c>
      <c r="C55" s="62" t="s">
        <v>78</v>
      </c>
      <c r="D55" s="63">
        <f>SUM(D56:D62)</f>
        <v>12079239.420000002</v>
      </c>
      <c r="E55" s="63">
        <f>SUM(E56:E62)</f>
        <v>12079239.420000002</v>
      </c>
      <c r="F55" s="63"/>
      <c r="G55" s="20"/>
      <c r="H55" s="53"/>
    </row>
    <row r="56" spans="1:8" ht="21" x14ac:dyDescent="0.4">
      <c r="A56" s="23"/>
      <c r="B56" s="24" t="s">
        <v>79</v>
      </c>
      <c r="C56" s="23" t="s">
        <v>80</v>
      </c>
      <c r="D56" s="61">
        <v>3000000</v>
      </c>
      <c r="E56" s="61">
        <v>3000000</v>
      </c>
      <c r="F56" s="61"/>
      <c r="G56" s="20" t="s">
        <v>81</v>
      </c>
      <c r="H56" s="21"/>
    </row>
    <row r="57" spans="1:8" ht="21" x14ac:dyDescent="0.4">
      <c r="A57" s="23"/>
      <c r="B57" s="24" t="s">
        <v>79</v>
      </c>
      <c r="C57" s="23" t="s">
        <v>82</v>
      </c>
      <c r="D57" s="61">
        <v>6041158.7999999998</v>
      </c>
      <c r="E57" s="61">
        <v>6041158.7999999998</v>
      </c>
      <c r="F57" s="61"/>
      <c r="G57" s="20" t="s">
        <v>83</v>
      </c>
      <c r="H57" s="21"/>
    </row>
    <row r="58" spans="1:8" ht="21" x14ac:dyDescent="0.4">
      <c r="A58" s="23"/>
      <c r="B58" s="24" t="s">
        <v>84</v>
      </c>
      <c r="C58" s="23" t="s">
        <v>85</v>
      </c>
      <c r="D58" s="64">
        <v>1465482.62</v>
      </c>
      <c r="E58" s="64">
        <v>1465482.62</v>
      </c>
      <c r="F58" s="64"/>
      <c r="G58" s="20" t="s">
        <v>86</v>
      </c>
      <c r="H58" s="21"/>
    </row>
    <row r="59" spans="1:8" ht="21" x14ac:dyDescent="0.4">
      <c r="A59" s="65"/>
      <c r="B59" s="66" t="s">
        <v>87</v>
      </c>
      <c r="C59" s="65" t="s">
        <v>88</v>
      </c>
      <c r="D59" s="67">
        <v>83500</v>
      </c>
      <c r="E59" s="67">
        <v>83500</v>
      </c>
      <c r="F59" s="67"/>
      <c r="G59" s="44" t="s">
        <v>38</v>
      </c>
      <c r="H59" s="45"/>
    </row>
    <row r="60" spans="1:8" ht="21" x14ac:dyDescent="0.4">
      <c r="A60" s="23"/>
      <c r="B60" s="24" t="s">
        <v>89</v>
      </c>
      <c r="C60" s="23" t="s">
        <v>90</v>
      </c>
      <c r="D60" s="64">
        <v>500000</v>
      </c>
      <c r="E60" s="64">
        <v>500000</v>
      </c>
      <c r="F60" s="64"/>
      <c r="G60" s="20" t="s">
        <v>81</v>
      </c>
      <c r="H60" s="21"/>
    </row>
    <row r="61" spans="1:8" ht="21" x14ac:dyDescent="0.4">
      <c r="A61" s="68"/>
      <c r="B61" s="69" t="s">
        <v>91</v>
      </c>
      <c r="C61" s="68" t="s">
        <v>92</v>
      </c>
      <c r="D61" s="70">
        <v>989098</v>
      </c>
      <c r="E61" s="70">
        <v>989098</v>
      </c>
      <c r="F61" s="70"/>
      <c r="G61" s="20" t="s">
        <v>81</v>
      </c>
      <c r="H61" s="71"/>
    </row>
    <row r="62" spans="1:8" ht="21" x14ac:dyDescent="0.4">
      <c r="A62" s="28"/>
      <c r="B62" s="72" t="s">
        <v>93</v>
      </c>
      <c r="C62" s="28" t="s">
        <v>94</v>
      </c>
      <c r="D62" s="73">
        <v>0</v>
      </c>
      <c r="E62" s="73">
        <v>0</v>
      </c>
      <c r="F62" s="73"/>
      <c r="G62" s="29"/>
      <c r="H62" s="30"/>
    </row>
    <row r="63" spans="1:8" ht="21" x14ac:dyDescent="0.4">
      <c r="A63" s="47"/>
      <c r="B63" s="46" t="s">
        <v>95</v>
      </c>
      <c r="C63" s="62" t="s">
        <v>96</v>
      </c>
      <c r="D63" s="74">
        <f>SUM(D64:D73)</f>
        <v>88560000</v>
      </c>
      <c r="E63" s="74">
        <f>SUM(E64:E73)</f>
        <v>88560000</v>
      </c>
      <c r="F63" s="74"/>
      <c r="G63" s="20" t="s">
        <v>97</v>
      </c>
      <c r="H63" s="53"/>
    </row>
    <row r="64" spans="1:8" ht="21" x14ac:dyDescent="0.4">
      <c r="A64" s="65"/>
      <c r="B64" s="66" t="s">
        <v>98</v>
      </c>
      <c r="C64" s="65" t="s">
        <v>99</v>
      </c>
      <c r="D64" s="67">
        <v>27000000</v>
      </c>
      <c r="E64" s="67">
        <v>27000000</v>
      </c>
      <c r="F64" s="67"/>
      <c r="G64" s="44" t="s">
        <v>38</v>
      </c>
      <c r="H64" s="45"/>
    </row>
    <row r="65" spans="1:8" ht="21" x14ac:dyDescent="0.4">
      <c r="A65" s="23"/>
      <c r="B65" s="24" t="s">
        <v>100</v>
      </c>
      <c r="C65" s="23" t="s">
        <v>101</v>
      </c>
      <c r="D65" s="61">
        <v>12000000</v>
      </c>
      <c r="E65" s="61">
        <v>12000000</v>
      </c>
      <c r="F65" s="61"/>
      <c r="G65" s="75" t="s">
        <v>86</v>
      </c>
      <c r="H65" s="21"/>
    </row>
    <row r="66" spans="1:8" ht="21" x14ac:dyDescent="0.4">
      <c r="A66" s="47"/>
      <c r="B66" s="24" t="s">
        <v>102</v>
      </c>
      <c r="C66" s="23" t="s">
        <v>101</v>
      </c>
      <c r="D66" s="63">
        <f>SUM(D67:D68)</f>
        <v>0</v>
      </c>
      <c r="E66" s="63">
        <f>SUM(E67:E68)</f>
        <v>0</v>
      </c>
      <c r="F66" s="63"/>
      <c r="G66" s="20"/>
      <c r="H66" s="53"/>
    </row>
    <row r="67" spans="1:8" ht="21" x14ac:dyDescent="0.4">
      <c r="A67" s="23"/>
      <c r="B67" s="24" t="s">
        <v>103</v>
      </c>
      <c r="C67" s="23" t="s">
        <v>101</v>
      </c>
      <c r="D67" s="61">
        <v>0</v>
      </c>
      <c r="E67" s="61">
        <v>0</v>
      </c>
      <c r="F67" s="61"/>
      <c r="G67" s="20"/>
      <c r="H67" s="21"/>
    </row>
    <row r="68" spans="1:8" ht="21" x14ac:dyDescent="0.4">
      <c r="A68" s="23"/>
      <c r="B68" s="24" t="s">
        <v>104</v>
      </c>
      <c r="C68" s="23" t="s">
        <v>101</v>
      </c>
      <c r="D68" s="61">
        <v>0</v>
      </c>
      <c r="E68" s="61">
        <v>0</v>
      </c>
      <c r="F68" s="61"/>
      <c r="G68" s="20"/>
      <c r="H68" s="21"/>
    </row>
    <row r="69" spans="1:8" ht="21" x14ac:dyDescent="0.4">
      <c r="A69" s="76"/>
      <c r="B69" s="77" t="s">
        <v>105</v>
      </c>
      <c r="C69" s="76" t="s">
        <v>106</v>
      </c>
      <c r="D69" s="78">
        <v>0</v>
      </c>
      <c r="E69" s="78">
        <v>0</v>
      </c>
      <c r="F69" s="78"/>
      <c r="G69" s="79"/>
      <c r="H69" s="80"/>
    </row>
    <row r="70" spans="1:8" ht="21" x14ac:dyDescent="0.4">
      <c r="A70" s="65"/>
      <c r="B70" s="66" t="s">
        <v>107</v>
      </c>
      <c r="C70" s="65" t="s">
        <v>108</v>
      </c>
      <c r="D70" s="67">
        <v>21000000</v>
      </c>
      <c r="E70" s="67">
        <v>21000000</v>
      </c>
      <c r="F70" s="67"/>
      <c r="G70" s="44" t="s">
        <v>38</v>
      </c>
      <c r="H70" s="45"/>
    </row>
    <row r="71" spans="1:8" ht="21" x14ac:dyDescent="0.4">
      <c r="A71" s="65"/>
      <c r="B71" s="66" t="s">
        <v>109</v>
      </c>
      <c r="C71" s="65" t="s">
        <v>110</v>
      </c>
      <c r="D71" s="67">
        <v>0</v>
      </c>
      <c r="E71" s="67">
        <v>0</v>
      </c>
      <c r="F71" s="67"/>
      <c r="G71" s="44"/>
      <c r="H71" s="45"/>
    </row>
    <row r="72" spans="1:8" ht="21" x14ac:dyDescent="0.4">
      <c r="A72" s="65"/>
      <c r="B72" s="66" t="s">
        <v>111</v>
      </c>
      <c r="C72" s="81" t="s">
        <v>112</v>
      </c>
      <c r="D72" s="67">
        <v>20760000</v>
      </c>
      <c r="E72" s="67">
        <v>20760000</v>
      </c>
      <c r="F72" s="67"/>
      <c r="G72" s="44" t="s">
        <v>38</v>
      </c>
      <c r="H72" s="45"/>
    </row>
    <row r="73" spans="1:8" ht="21" x14ac:dyDescent="0.4">
      <c r="A73" s="65"/>
      <c r="B73" s="66" t="s">
        <v>111</v>
      </c>
      <c r="C73" s="81" t="s">
        <v>113</v>
      </c>
      <c r="D73" s="82">
        <v>7800000</v>
      </c>
      <c r="E73" s="82">
        <v>7800000</v>
      </c>
      <c r="F73" s="82"/>
      <c r="G73" s="44" t="s">
        <v>38</v>
      </c>
      <c r="H73" s="45"/>
    </row>
    <row r="74" spans="1:8" ht="21" x14ac:dyDescent="0.4">
      <c r="A74" s="65"/>
      <c r="B74" s="66" t="s">
        <v>114</v>
      </c>
      <c r="C74" s="83" t="s">
        <v>115</v>
      </c>
      <c r="D74" s="84">
        <f>SUM(D75:D76)</f>
        <v>9000000</v>
      </c>
      <c r="E74" s="84">
        <f>SUM(E75:E76)</f>
        <v>9000000</v>
      </c>
      <c r="F74" s="84"/>
      <c r="G74" s="44"/>
      <c r="H74" s="45"/>
    </row>
    <row r="75" spans="1:8" ht="21" x14ac:dyDescent="0.4">
      <c r="A75" s="23"/>
      <c r="B75" s="24" t="s">
        <v>116</v>
      </c>
      <c r="C75" s="23" t="s">
        <v>117</v>
      </c>
      <c r="D75" s="61">
        <v>6500000</v>
      </c>
      <c r="E75" s="61">
        <v>6500000</v>
      </c>
      <c r="F75" s="61"/>
      <c r="G75" s="20" t="s">
        <v>118</v>
      </c>
      <c r="H75" s="21"/>
    </row>
    <row r="76" spans="1:8" ht="21" x14ac:dyDescent="0.4">
      <c r="A76" s="23"/>
      <c r="B76" s="24" t="s">
        <v>119</v>
      </c>
      <c r="C76" s="23" t="s">
        <v>120</v>
      </c>
      <c r="D76" s="64">
        <v>2500000</v>
      </c>
      <c r="E76" s="64">
        <v>2500000</v>
      </c>
      <c r="F76" s="64"/>
      <c r="G76" s="20" t="s">
        <v>35</v>
      </c>
      <c r="H76" s="21"/>
    </row>
    <row r="77" spans="1:8" ht="21" x14ac:dyDescent="0.4">
      <c r="A77" s="47"/>
      <c r="B77" s="85" t="s">
        <v>121</v>
      </c>
      <c r="C77" s="62" t="s">
        <v>122</v>
      </c>
      <c r="D77" s="74">
        <f>SUM(D78:D84)</f>
        <v>7000000</v>
      </c>
      <c r="E77" s="74">
        <f>SUM(E78:E84)</f>
        <v>7000000</v>
      </c>
      <c r="F77" s="74"/>
      <c r="G77" s="20"/>
      <c r="H77" s="53"/>
    </row>
    <row r="78" spans="1:8" ht="21" x14ac:dyDescent="0.4">
      <c r="A78" s="23"/>
      <c r="B78" s="24" t="s">
        <v>123</v>
      </c>
      <c r="C78" s="23" t="s">
        <v>124</v>
      </c>
      <c r="D78" s="64">
        <v>2500000</v>
      </c>
      <c r="E78" s="64">
        <v>2500000</v>
      </c>
      <c r="F78" s="64"/>
      <c r="G78" s="20" t="s">
        <v>81</v>
      </c>
      <c r="H78" s="21"/>
    </row>
    <row r="79" spans="1:8" ht="21" x14ac:dyDescent="0.4">
      <c r="A79" s="23"/>
      <c r="B79" s="24" t="s">
        <v>125</v>
      </c>
      <c r="C79" s="23" t="s">
        <v>126</v>
      </c>
      <c r="D79" s="61">
        <v>0</v>
      </c>
      <c r="E79" s="61">
        <v>0</v>
      </c>
      <c r="F79" s="61"/>
      <c r="G79" s="20"/>
      <c r="H79" s="21"/>
    </row>
    <row r="80" spans="1:8" ht="21" x14ac:dyDescent="0.4">
      <c r="A80" s="23"/>
      <c r="B80" s="86" t="s">
        <v>127</v>
      </c>
      <c r="C80" s="87" t="s">
        <v>128</v>
      </c>
      <c r="D80" s="64">
        <v>3000000</v>
      </c>
      <c r="E80" s="64">
        <v>3000000</v>
      </c>
      <c r="F80" s="64"/>
      <c r="G80" s="20" t="s">
        <v>81</v>
      </c>
      <c r="H80" s="21"/>
    </row>
    <row r="81" spans="1:8" ht="21" x14ac:dyDescent="0.4">
      <c r="A81" s="23"/>
      <c r="B81" s="24" t="s">
        <v>129</v>
      </c>
      <c r="C81" s="23" t="s">
        <v>130</v>
      </c>
      <c r="D81" s="64" t="s">
        <v>131</v>
      </c>
      <c r="E81" s="64" t="s">
        <v>131</v>
      </c>
      <c r="F81" s="64"/>
      <c r="G81" s="20"/>
      <c r="H81" s="21"/>
    </row>
    <row r="82" spans="1:8" ht="21" x14ac:dyDescent="0.4">
      <c r="A82" s="65"/>
      <c r="B82" s="66" t="s">
        <v>132</v>
      </c>
      <c r="C82" s="42" t="s">
        <v>133</v>
      </c>
      <c r="D82" s="67">
        <v>1500000</v>
      </c>
      <c r="E82" s="67">
        <v>1500000</v>
      </c>
      <c r="F82" s="67"/>
      <c r="G82" s="44" t="s">
        <v>35</v>
      </c>
      <c r="H82" s="45"/>
    </row>
    <row r="83" spans="1:8" ht="21" x14ac:dyDescent="0.4">
      <c r="A83" s="23"/>
      <c r="B83" s="24" t="s">
        <v>132</v>
      </c>
      <c r="C83" s="23" t="s">
        <v>133</v>
      </c>
      <c r="D83" s="64">
        <v>0</v>
      </c>
      <c r="E83" s="64">
        <v>0</v>
      </c>
      <c r="F83" s="64"/>
      <c r="G83" s="20"/>
      <c r="H83" s="21"/>
    </row>
    <row r="84" spans="1:8" ht="21" x14ac:dyDescent="0.4">
      <c r="A84" s="23"/>
      <c r="B84" s="24" t="s">
        <v>134</v>
      </c>
      <c r="C84" s="23" t="s">
        <v>135</v>
      </c>
      <c r="D84" s="64">
        <v>0</v>
      </c>
      <c r="E84" s="64">
        <v>0</v>
      </c>
      <c r="F84" s="64"/>
      <c r="G84" s="20"/>
      <c r="H84" s="21"/>
    </row>
    <row r="85" spans="1:8" ht="21" x14ac:dyDescent="0.4">
      <c r="A85" s="88"/>
      <c r="B85" s="89" t="s">
        <v>136</v>
      </c>
      <c r="C85" s="83" t="s">
        <v>137</v>
      </c>
      <c r="D85" s="90">
        <f>SUM(D86:D87)</f>
        <v>6000000</v>
      </c>
      <c r="E85" s="90">
        <f>SUM(E86:E87)</f>
        <v>6000000</v>
      </c>
      <c r="F85" s="90"/>
      <c r="G85" s="44"/>
      <c r="H85" s="91"/>
    </row>
    <row r="86" spans="1:8" ht="21" x14ac:dyDescent="0.4">
      <c r="A86" s="23"/>
      <c r="B86" s="24" t="s">
        <v>138</v>
      </c>
      <c r="C86" s="23" t="s">
        <v>139</v>
      </c>
      <c r="D86" s="61">
        <v>3500000</v>
      </c>
      <c r="E86" s="61">
        <v>3500000</v>
      </c>
      <c r="F86" s="61"/>
      <c r="G86" s="20" t="s">
        <v>35</v>
      </c>
      <c r="H86" s="21"/>
    </row>
    <row r="87" spans="1:8" ht="21" x14ac:dyDescent="0.4">
      <c r="A87" s="23"/>
      <c r="B87" s="24" t="s">
        <v>140</v>
      </c>
      <c r="C87" s="23" t="s">
        <v>141</v>
      </c>
      <c r="D87" s="64">
        <v>2500000</v>
      </c>
      <c r="E87" s="64">
        <v>2500000</v>
      </c>
      <c r="F87" s="64"/>
      <c r="G87" s="20" t="s">
        <v>35</v>
      </c>
      <c r="H87" s="21"/>
    </row>
    <row r="88" spans="1:8" ht="21" x14ac:dyDescent="0.4">
      <c r="A88" s="23"/>
      <c r="B88" s="23"/>
      <c r="C88" s="23"/>
      <c r="D88" s="25"/>
      <c r="E88" s="25"/>
      <c r="F88" s="25"/>
      <c r="G88" s="20"/>
      <c r="H88" s="21"/>
    </row>
    <row r="89" spans="1:8" ht="21" x14ac:dyDescent="0.4">
      <c r="A89" s="19" t="s">
        <v>142</v>
      </c>
      <c r="B89" s="18"/>
      <c r="C89" s="18" t="s">
        <v>143</v>
      </c>
      <c r="D89" s="22">
        <f t="shared" ref="D89:E90" si="3">D90</f>
        <v>56400000</v>
      </c>
      <c r="E89" s="22">
        <f t="shared" si="3"/>
        <v>56400000</v>
      </c>
      <c r="F89" s="22"/>
      <c r="G89" s="20"/>
      <c r="H89" s="21"/>
    </row>
    <row r="90" spans="1:8" ht="21" x14ac:dyDescent="0.4">
      <c r="A90" s="23"/>
      <c r="B90" s="24" t="s">
        <v>56</v>
      </c>
      <c r="C90" s="23" t="s">
        <v>57</v>
      </c>
      <c r="D90" s="25">
        <f t="shared" si="3"/>
        <v>56400000</v>
      </c>
      <c r="E90" s="25">
        <f t="shared" si="3"/>
        <v>56400000</v>
      </c>
      <c r="F90" s="25"/>
      <c r="G90" s="20"/>
      <c r="H90" s="21"/>
    </row>
    <row r="91" spans="1:8" ht="21" x14ac:dyDescent="0.4">
      <c r="A91" s="47"/>
      <c r="B91" s="46" t="s">
        <v>144</v>
      </c>
      <c r="C91" s="47" t="s">
        <v>143</v>
      </c>
      <c r="D91" s="48">
        <f>SUM(D92:D93)</f>
        <v>56400000</v>
      </c>
      <c r="E91" s="48">
        <f>SUM(E92:E93)</f>
        <v>56400000</v>
      </c>
      <c r="F91" s="48"/>
      <c r="G91" s="20"/>
      <c r="H91" s="53"/>
    </row>
    <row r="92" spans="1:8" ht="21" x14ac:dyDescent="0.4">
      <c r="A92" s="92"/>
      <c r="B92" s="93" t="s">
        <v>145</v>
      </c>
      <c r="C92" s="92" t="s">
        <v>146</v>
      </c>
      <c r="D92" s="94">
        <v>55200000</v>
      </c>
      <c r="E92" s="94">
        <v>55200000</v>
      </c>
      <c r="F92" s="94"/>
      <c r="G92" s="95" t="s">
        <v>38</v>
      </c>
      <c r="H92" s="96"/>
    </row>
    <row r="93" spans="1:8" ht="21" x14ac:dyDescent="0.4">
      <c r="A93" s="23"/>
      <c r="B93" s="24" t="s">
        <v>147</v>
      </c>
      <c r="C93" s="23" t="s">
        <v>148</v>
      </c>
      <c r="D93" s="51">
        <v>1200000</v>
      </c>
      <c r="E93" s="51">
        <v>1200000</v>
      </c>
      <c r="F93" s="51"/>
      <c r="G93" s="20" t="s">
        <v>149</v>
      </c>
      <c r="H93" s="21"/>
    </row>
    <row r="94" spans="1:8" ht="21" x14ac:dyDescent="0.4">
      <c r="A94" s="23"/>
      <c r="B94" s="23"/>
      <c r="C94" s="23"/>
      <c r="D94" s="25"/>
      <c r="E94" s="25"/>
      <c r="F94" s="25"/>
      <c r="G94" s="20"/>
      <c r="H94" s="21"/>
    </row>
    <row r="95" spans="1:8" ht="21" x14ac:dyDescent="0.4">
      <c r="A95" s="97" t="s">
        <v>150</v>
      </c>
      <c r="B95" s="98"/>
      <c r="C95" s="98" t="s">
        <v>151</v>
      </c>
      <c r="D95" s="99">
        <f t="shared" ref="D95:E95" si="4">D96</f>
        <v>4000000</v>
      </c>
      <c r="E95" s="99">
        <f t="shared" si="4"/>
        <v>4000000</v>
      </c>
      <c r="F95" s="99"/>
      <c r="G95" s="100"/>
      <c r="H95" s="101"/>
    </row>
    <row r="96" spans="1:8" ht="21" x14ac:dyDescent="0.4">
      <c r="A96" s="23"/>
      <c r="B96" s="24" t="s">
        <v>75</v>
      </c>
      <c r="C96" s="23" t="s">
        <v>76</v>
      </c>
      <c r="D96" s="25">
        <f>D99+D100</f>
        <v>4000000</v>
      </c>
      <c r="E96" s="25">
        <f>E99+E100</f>
        <v>4000000</v>
      </c>
      <c r="F96" s="25"/>
      <c r="G96" s="20" t="s">
        <v>118</v>
      </c>
      <c r="H96" s="21"/>
    </row>
    <row r="97" spans="1:8" ht="21" x14ac:dyDescent="0.4">
      <c r="A97" s="23"/>
      <c r="B97" s="46" t="s">
        <v>77</v>
      </c>
      <c r="C97" s="47" t="s">
        <v>78</v>
      </c>
      <c r="D97" s="25">
        <v>0</v>
      </c>
      <c r="E97" s="25">
        <v>0</v>
      </c>
      <c r="F97" s="25"/>
      <c r="G97" s="20"/>
      <c r="H97" s="21"/>
    </row>
    <row r="98" spans="1:8" ht="21" x14ac:dyDescent="0.4">
      <c r="A98" s="23"/>
      <c r="B98" s="24" t="s">
        <v>79</v>
      </c>
      <c r="C98" s="23" t="s">
        <v>80</v>
      </c>
      <c r="D98" s="25">
        <v>0</v>
      </c>
      <c r="E98" s="25">
        <v>0</v>
      </c>
      <c r="F98" s="25"/>
      <c r="G98" s="20"/>
      <c r="H98" s="21"/>
    </row>
    <row r="99" spans="1:8" ht="21" x14ac:dyDescent="0.4">
      <c r="A99" s="23"/>
      <c r="B99" s="24" t="s">
        <v>91</v>
      </c>
      <c r="C99" s="23" t="s">
        <v>92</v>
      </c>
      <c r="D99" s="25">
        <v>400000</v>
      </c>
      <c r="E99" s="25">
        <v>400000</v>
      </c>
      <c r="F99" s="25"/>
      <c r="G99" s="20"/>
      <c r="H99" s="21"/>
    </row>
    <row r="100" spans="1:8" ht="21" x14ac:dyDescent="0.4">
      <c r="A100" s="23"/>
      <c r="B100" s="24" t="s">
        <v>152</v>
      </c>
      <c r="C100" s="23" t="s">
        <v>153</v>
      </c>
      <c r="D100" s="25">
        <v>3600000</v>
      </c>
      <c r="E100" s="25">
        <v>3600000</v>
      </c>
      <c r="F100" s="25"/>
      <c r="G100" s="20"/>
      <c r="H100" s="21"/>
    </row>
    <row r="101" spans="1:8" ht="21" x14ac:dyDescent="0.4">
      <c r="A101" s="23"/>
      <c r="B101" s="24" t="s">
        <v>93</v>
      </c>
      <c r="C101" s="23" t="s">
        <v>154</v>
      </c>
      <c r="D101" s="25">
        <v>0</v>
      </c>
      <c r="E101" s="25">
        <v>0</v>
      </c>
      <c r="F101" s="25"/>
      <c r="G101" s="20"/>
      <c r="H101" s="21"/>
    </row>
    <row r="102" spans="1:8" ht="21" x14ac:dyDescent="0.4">
      <c r="A102" s="23"/>
      <c r="B102" s="23"/>
      <c r="C102" s="23"/>
      <c r="D102" s="25"/>
      <c r="E102" s="25"/>
      <c r="F102" s="25"/>
      <c r="G102" s="20"/>
      <c r="H102" s="21"/>
    </row>
    <row r="103" spans="1:8" ht="21" x14ac:dyDescent="0.3">
      <c r="A103" s="102" t="s">
        <v>155</v>
      </c>
      <c r="B103" s="103"/>
      <c r="C103" s="103" t="s">
        <v>156</v>
      </c>
      <c r="D103" s="104">
        <f>D104</f>
        <v>48840000</v>
      </c>
      <c r="E103" s="104">
        <f>E104</f>
        <v>48840000</v>
      </c>
      <c r="F103" s="104"/>
      <c r="G103" s="105" t="s">
        <v>38</v>
      </c>
      <c r="H103" s="106"/>
    </row>
    <row r="104" spans="1:8" ht="21" x14ac:dyDescent="0.4">
      <c r="A104" s="23"/>
      <c r="B104" s="24" t="s">
        <v>75</v>
      </c>
      <c r="C104" s="23" t="s">
        <v>76</v>
      </c>
      <c r="D104" s="25">
        <f>D105+D107</f>
        <v>48840000</v>
      </c>
      <c r="E104" s="25">
        <f>E105+E107</f>
        <v>48840000</v>
      </c>
      <c r="F104" s="25"/>
      <c r="G104" s="20"/>
      <c r="H104" s="21"/>
    </row>
    <row r="105" spans="1:8" ht="21" x14ac:dyDescent="0.4">
      <c r="A105" s="23"/>
      <c r="B105" s="46" t="s">
        <v>77</v>
      </c>
      <c r="C105" s="47" t="s">
        <v>78</v>
      </c>
      <c r="D105" s="25">
        <f>D106</f>
        <v>0</v>
      </c>
      <c r="E105" s="25">
        <f>E106</f>
        <v>0</v>
      </c>
      <c r="F105" s="25"/>
      <c r="G105" s="20"/>
      <c r="H105" s="21"/>
    </row>
    <row r="106" spans="1:8" ht="21" x14ac:dyDescent="0.4">
      <c r="A106" s="23"/>
      <c r="B106" s="24" t="s">
        <v>79</v>
      </c>
      <c r="C106" s="23" t="s">
        <v>80</v>
      </c>
      <c r="D106" s="25">
        <v>0</v>
      </c>
      <c r="E106" s="25">
        <v>0</v>
      </c>
      <c r="F106" s="25"/>
      <c r="G106" s="20"/>
      <c r="H106" s="21"/>
    </row>
    <row r="107" spans="1:8" ht="21" x14ac:dyDescent="0.4">
      <c r="A107" s="23"/>
      <c r="B107" s="46" t="s">
        <v>157</v>
      </c>
      <c r="C107" s="47" t="s">
        <v>158</v>
      </c>
      <c r="D107" s="25">
        <f>D108</f>
        <v>48840000</v>
      </c>
      <c r="E107" s="25">
        <f>E108</f>
        <v>48840000</v>
      </c>
      <c r="F107" s="25"/>
      <c r="G107" s="20"/>
      <c r="H107" s="21"/>
    </row>
    <row r="108" spans="1:8" ht="21" x14ac:dyDescent="0.4">
      <c r="A108" s="23"/>
      <c r="B108" s="24" t="s">
        <v>157</v>
      </c>
      <c r="C108" s="107" t="s">
        <v>159</v>
      </c>
      <c r="D108" s="51">
        <v>48840000</v>
      </c>
      <c r="E108" s="51">
        <v>48840000</v>
      </c>
      <c r="F108" s="51"/>
      <c r="G108" s="75"/>
      <c r="H108" s="21"/>
    </row>
    <row r="109" spans="1:8" ht="21" x14ac:dyDescent="0.4">
      <c r="A109" s="23"/>
      <c r="B109" s="23"/>
      <c r="C109" s="23"/>
      <c r="D109" s="25"/>
      <c r="E109" s="25"/>
      <c r="F109" s="25"/>
      <c r="G109" s="20"/>
      <c r="H109" s="21"/>
    </row>
    <row r="110" spans="1:8" ht="42" x14ac:dyDescent="0.4">
      <c r="A110" s="108" t="s">
        <v>160</v>
      </c>
      <c r="B110" s="109"/>
      <c r="C110" s="110" t="s">
        <v>161</v>
      </c>
      <c r="D110" s="111">
        <f>D111+D118+D123</f>
        <v>37000000</v>
      </c>
      <c r="E110" s="111">
        <f>E111+E118+E123</f>
        <v>11200000</v>
      </c>
      <c r="F110" s="111">
        <f>F111+F118+F123</f>
        <v>25800000</v>
      </c>
      <c r="G110" s="112"/>
      <c r="H110" s="113"/>
    </row>
    <row r="111" spans="1:8" ht="21" x14ac:dyDescent="0.4">
      <c r="A111" s="18"/>
      <c r="B111" s="18"/>
      <c r="C111" s="19" t="s">
        <v>162</v>
      </c>
      <c r="D111" s="22">
        <f>D112</f>
        <v>9000000</v>
      </c>
      <c r="E111" s="22">
        <f>E112</f>
        <v>2000000</v>
      </c>
      <c r="F111" s="22">
        <f>D111-E111</f>
        <v>7000000</v>
      </c>
      <c r="G111" s="20" t="s">
        <v>163</v>
      </c>
      <c r="H111" s="21"/>
    </row>
    <row r="112" spans="1:8" ht="21" x14ac:dyDescent="0.4">
      <c r="A112" s="23"/>
      <c r="B112" s="24" t="s">
        <v>75</v>
      </c>
      <c r="C112" s="23" t="s">
        <v>76</v>
      </c>
      <c r="D112" s="25">
        <f>D113+D116</f>
        <v>9000000</v>
      </c>
      <c r="E112" s="25">
        <f>E113+E116</f>
        <v>2000000</v>
      </c>
      <c r="F112" s="22">
        <f t="shared" ref="F112:F114" si="5">D112-E112</f>
        <v>7000000</v>
      </c>
      <c r="G112" s="75"/>
      <c r="H112" s="21"/>
    </row>
    <row r="113" spans="1:8" ht="21" x14ac:dyDescent="0.4">
      <c r="A113" s="23"/>
      <c r="B113" s="46" t="s">
        <v>77</v>
      </c>
      <c r="C113" s="47" t="s">
        <v>164</v>
      </c>
      <c r="D113" s="25">
        <f>D114</f>
        <v>5000000</v>
      </c>
      <c r="E113" s="25">
        <v>2000000</v>
      </c>
      <c r="F113" s="22">
        <f t="shared" si="5"/>
        <v>3000000</v>
      </c>
      <c r="G113" s="20"/>
      <c r="H113" s="21"/>
    </row>
    <row r="114" spans="1:8" ht="21" x14ac:dyDescent="0.4">
      <c r="A114" s="23"/>
      <c r="B114" s="46" t="s">
        <v>165</v>
      </c>
      <c r="C114" s="47" t="s">
        <v>166</v>
      </c>
      <c r="D114" s="25">
        <v>5000000</v>
      </c>
      <c r="E114" s="25">
        <v>2000000</v>
      </c>
      <c r="F114" s="22">
        <f t="shared" si="5"/>
        <v>3000000</v>
      </c>
      <c r="G114" s="20"/>
      <c r="H114" s="21"/>
    </row>
    <row r="115" spans="1:8" ht="21" x14ac:dyDescent="0.4">
      <c r="A115" s="23"/>
      <c r="B115" s="24" t="s">
        <v>167</v>
      </c>
      <c r="C115" s="23" t="s">
        <v>168</v>
      </c>
      <c r="D115" s="25">
        <v>4000000</v>
      </c>
      <c r="E115" s="25">
        <v>0</v>
      </c>
      <c r="F115" s="25">
        <v>4000000</v>
      </c>
      <c r="G115" s="20"/>
      <c r="H115" s="21"/>
    </row>
    <row r="116" spans="1:8" ht="21" x14ac:dyDescent="0.4">
      <c r="A116" s="23"/>
      <c r="B116" s="24" t="s">
        <v>116</v>
      </c>
      <c r="C116" s="23" t="s">
        <v>169</v>
      </c>
      <c r="D116" s="51">
        <v>4000000</v>
      </c>
      <c r="E116" s="51">
        <v>0</v>
      </c>
      <c r="F116" s="51"/>
      <c r="G116" s="20"/>
      <c r="H116" s="21"/>
    </row>
    <row r="117" spans="1:8" ht="21" x14ac:dyDescent="0.4">
      <c r="A117" s="23"/>
      <c r="B117" s="24" t="s">
        <v>119</v>
      </c>
      <c r="C117" s="23" t="s">
        <v>170</v>
      </c>
      <c r="D117" s="25">
        <v>0</v>
      </c>
      <c r="E117" s="25">
        <v>0</v>
      </c>
      <c r="F117" s="25"/>
      <c r="G117" s="20"/>
      <c r="H117" s="21"/>
    </row>
    <row r="118" spans="1:8" ht="21" x14ac:dyDescent="0.4">
      <c r="A118" s="18"/>
      <c r="B118" s="18"/>
      <c r="C118" s="114" t="s">
        <v>171</v>
      </c>
      <c r="D118" s="22">
        <f t="shared" ref="D118:E118" si="6">D119</f>
        <v>9000000</v>
      </c>
      <c r="E118" s="22">
        <f t="shared" si="6"/>
        <v>2000000</v>
      </c>
      <c r="F118" s="22">
        <f>D118-E118</f>
        <v>7000000</v>
      </c>
      <c r="G118" s="20" t="s">
        <v>163</v>
      </c>
      <c r="H118" s="21"/>
    </row>
    <row r="119" spans="1:8" ht="21" x14ac:dyDescent="0.4">
      <c r="A119" s="23"/>
      <c r="B119" s="24" t="s">
        <v>75</v>
      </c>
      <c r="C119" s="23" t="s">
        <v>76</v>
      </c>
      <c r="D119" s="25">
        <f>D120+D121</f>
        <v>9000000</v>
      </c>
      <c r="E119" s="25">
        <f>E120+E121</f>
        <v>2000000</v>
      </c>
      <c r="F119" s="25">
        <f t="shared" ref="F119:F121" si="7">D119-E119</f>
        <v>7000000</v>
      </c>
      <c r="G119" s="20"/>
      <c r="H119" s="21"/>
    </row>
    <row r="120" spans="1:8" ht="21" x14ac:dyDescent="0.4">
      <c r="A120" s="23"/>
      <c r="B120" s="46" t="s">
        <v>77</v>
      </c>
      <c r="C120" s="47" t="s">
        <v>168</v>
      </c>
      <c r="D120" s="25">
        <v>3000000</v>
      </c>
      <c r="E120" s="25">
        <v>0</v>
      </c>
      <c r="F120" s="25">
        <f t="shared" si="7"/>
        <v>3000000</v>
      </c>
      <c r="G120" s="20"/>
      <c r="H120" s="21"/>
    </row>
    <row r="121" spans="1:8" ht="21" x14ac:dyDescent="0.4">
      <c r="A121" s="23"/>
      <c r="B121" s="24" t="s">
        <v>152</v>
      </c>
      <c r="C121" s="23" t="s">
        <v>172</v>
      </c>
      <c r="D121" s="25">
        <v>6000000</v>
      </c>
      <c r="E121" s="25">
        <v>2000000</v>
      </c>
      <c r="F121" s="25">
        <f t="shared" si="7"/>
        <v>4000000</v>
      </c>
      <c r="G121" s="20"/>
      <c r="H121" s="21"/>
    </row>
    <row r="122" spans="1:8" ht="21" x14ac:dyDescent="0.4">
      <c r="A122" s="115"/>
      <c r="B122" s="116" t="s">
        <v>167</v>
      </c>
      <c r="C122" s="23" t="s">
        <v>168</v>
      </c>
      <c r="D122" s="25"/>
      <c r="E122" s="25"/>
      <c r="F122" s="25"/>
      <c r="G122" s="20"/>
      <c r="H122" s="21"/>
    </row>
    <row r="123" spans="1:8" ht="21" x14ac:dyDescent="0.4">
      <c r="A123" s="115"/>
      <c r="B123" s="117"/>
      <c r="C123" s="19" t="s">
        <v>173</v>
      </c>
      <c r="D123" s="22">
        <f>D124</f>
        <v>19000000</v>
      </c>
      <c r="E123" s="22">
        <f>E124</f>
        <v>7200000</v>
      </c>
      <c r="F123" s="22">
        <f>D123-E123</f>
        <v>11800000</v>
      </c>
      <c r="G123" s="20" t="s">
        <v>163</v>
      </c>
      <c r="H123" s="21"/>
    </row>
    <row r="124" spans="1:8" ht="21" x14ac:dyDescent="0.4">
      <c r="A124" s="118"/>
      <c r="B124" s="24" t="s">
        <v>75</v>
      </c>
      <c r="C124" s="23" t="s">
        <v>76</v>
      </c>
      <c r="D124" s="25">
        <f>D125+D128</f>
        <v>19000000</v>
      </c>
      <c r="E124" s="25">
        <f>E125+E128</f>
        <v>7200000</v>
      </c>
      <c r="F124" s="25">
        <f>D124-E124</f>
        <v>11800000</v>
      </c>
      <c r="G124" s="20"/>
      <c r="H124" s="21"/>
    </row>
    <row r="125" spans="1:8" ht="21" x14ac:dyDescent="0.4">
      <c r="A125" s="118"/>
      <c r="B125" s="46" t="s">
        <v>77</v>
      </c>
      <c r="C125" s="47" t="s">
        <v>168</v>
      </c>
      <c r="D125" s="25">
        <f>SUM(D126+D127)</f>
        <v>18000000</v>
      </c>
      <c r="E125" s="25">
        <f>SUM(E126+E127)</f>
        <v>7200000</v>
      </c>
      <c r="F125" s="25">
        <f>D125-E125</f>
        <v>10800000</v>
      </c>
      <c r="G125" s="20"/>
      <c r="H125" s="21"/>
    </row>
    <row r="126" spans="1:8" ht="21" x14ac:dyDescent="0.4">
      <c r="A126" s="118"/>
      <c r="B126" s="24" t="s">
        <v>152</v>
      </c>
      <c r="C126" s="23" t="s">
        <v>153</v>
      </c>
      <c r="D126" s="51">
        <v>18000000</v>
      </c>
      <c r="E126" s="51">
        <v>7200000</v>
      </c>
      <c r="F126" s="25">
        <f>D126-E126</f>
        <v>10800000</v>
      </c>
      <c r="G126" s="20"/>
      <c r="H126" s="21"/>
    </row>
    <row r="127" spans="1:8" ht="21" x14ac:dyDescent="0.4">
      <c r="A127" s="118"/>
      <c r="B127" s="23" t="s">
        <v>167</v>
      </c>
      <c r="C127" s="23" t="s">
        <v>168</v>
      </c>
      <c r="D127" s="51">
        <v>0</v>
      </c>
      <c r="E127" s="51">
        <v>0</v>
      </c>
      <c r="F127" s="51"/>
      <c r="G127" s="20"/>
      <c r="H127" s="21"/>
    </row>
    <row r="128" spans="1:8" ht="21" x14ac:dyDescent="0.4">
      <c r="A128" s="118"/>
      <c r="B128" s="46" t="s">
        <v>174</v>
      </c>
      <c r="C128" s="47" t="s">
        <v>175</v>
      </c>
      <c r="D128" s="48">
        <v>1000000</v>
      </c>
      <c r="E128" s="48">
        <v>0</v>
      </c>
      <c r="F128" s="48">
        <v>1000000</v>
      </c>
      <c r="G128" s="20"/>
      <c r="H128" s="21"/>
    </row>
    <row r="129" spans="1:8" ht="21" x14ac:dyDescent="0.4">
      <c r="A129" s="118"/>
      <c r="B129" s="24" t="s">
        <v>176</v>
      </c>
      <c r="C129" s="23" t="s">
        <v>177</v>
      </c>
      <c r="D129" s="25">
        <v>0</v>
      </c>
      <c r="E129" s="25">
        <v>0</v>
      </c>
      <c r="F129" s="25"/>
      <c r="G129" s="20"/>
      <c r="H129" s="21"/>
    </row>
    <row r="130" spans="1:8" ht="21" x14ac:dyDescent="0.4">
      <c r="A130" s="23"/>
      <c r="B130" s="23"/>
      <c r="C130" s="23"/>
      <c r="D130" s="25"/>
      <c r="E130" s="25"/>
      <c r="F130" s="25"/>
      <c r="G130" s="20"/>
      <c r="H130" s="21"/>
    </row>
    <row r="131" spans="1:8" ht="42" x14ac:dyDescent="0.3">
      <c r="A131" s="119" t="s">
        <v>178</v>
      </c>
      <c r="B131" s="120"/>
      <c r="C131" s="121" t="s">
        <v>179</v>
      </c>
      <c r="D131" s="57">
        <f>D132</f>
        <v>45000000</v>
      </c>
      <c r="E131" s="57">
        <f>E132</f>
        <v>45000000</v>
      </c>
      <c r="F131" s="57"/>
      <c r="G131" s="58" t="s">
        <v>18</v>
      </c>
      <c r="H131" s="122"/>
    </row>
    <row r="132" spans="1:8" ht="21" x14ac:dyDescent="0.4">
      <c r="A132" s="23"/>
      <c r="B132" s="24" t="s">
        <v>56</v>
      </c>
      <c r="C132" s="23" t="s">
        <v>57</v>
      </c>
      <c r="D132" s="25">
        <f>D133+D135</f>
        <v>45000000</v>
      </c>
      <c r="E132" s="25">
        <f>E133+E135</f>
        <v>45000000</v>
      </c>
      <c r="F132" s="25"/>
      <c r="G132" s="20"/>
      <c r="H132" s="21"/>
    </row>
    <row r="133" spans="1:8" ht="21" x14ac:dyDescent="0.4">
      <c r="A133" s="47"/>
      <c r="B133" s="46" t="s">
        <v>58</v>
      </c>
      <c r="C133" s="47" t="s">
        <v>180</v>
      </c>
      <c r="D133" s="48">
        <f>D134</f>
        <v>6600000</v>
      </c>
      <c r="E133" s="48">
        <f>E134</f>
        <v>6600000</v>
      </c>
      <c r="F133" s="48"/>
      <c r="G133" s="20"/>
      <c r="H133" s="53"/>
    </row>
    <row r="134" spans="1:8" ht="21" x14ac:dyDescent="0.4">
      <c r="A134" s="23"/>
      <c r="B134" s="24" t="s">
        <v>181</v>
      </c>
      <c r="C134" s="23" t="s">
        <v>182</v>
      </c>
      <c r="D134" s="25">
        <v>6600000</v>
      </c>
      <c r="E134" s="25">
        <v>6600000</v>
      </c>
      <c r="F134" s="25"/>
      <c r="G134" s="20"/>
      <c r="H134" s="21"/>
    </row>
    <row r="135" spans="1:8" ht="21" x14ac:dyDescent="0.4">
      <c r="A135" s="23"/>
      <c r="B135" s="24" t="s">
        <v>56</v>
      </c>
      <c r="C135" s="23" t="s">
        <v>57</v>
      </c>
      <c r="D135" s="25">
        <f t="shared" ref="D135:E136" si="8">D136</f>
        <v>38400000</v>
      </c>
      <c r="E135" s="25">
        <f t="shared" si="8"/>
        <v>38400000</v>
      </c>
      <c r="F135" s="25"/>
      <c r="G135" s="20"/>
      <c r="H135" s="21"/>
    </row>
    <row r="136" spans="1:8" ht="21" x14ac:dyDescent="0.4">
      <c r="A136" s="47"/>
      <c r="B136" s="46" t="s">
        <v>183</v>
      </c>
      <c r="C136" s="47" t="s">
        <v>184</v>
      </c>
      <c r="D136" s="48">
        <f t="shared" si="8"/>
        <v>38400000</v>
      </c>
      <c r="E136" s="48">
        <f t="shared" si="8"/>
        <v>38400000</v>
      </c>
      <c r="F136" s="48"/>
      <c r="G136" s="20"/>
      <c r="H136" s="53"/>
    </row>
    <row r="137" spans="1:8" ht="21" x14ac:dyDescent="0.4">
      <c r="A137" s="23"/>
      <c r="B137" s="24" t="s">
        <v>185</v>
      </c>
      <c r="C137" s="23" t="s">
        <v>186</v>
      </c>
      <c r="D137" s="25">
        <v>38400000</v>
      </c>
      <c r="E137" s="25">
        <v>38400000</v>
      </c>
      <c r="F137" s="25"/>
      <c r="G137" s="20"/>
      <c r="H137" s="21"/>
    </row>
    <row r="138" spans="1:8" ht="21" x14ac:dyDescent="0.4">
      <c r="A138" s="23"/>
      <c r="B138" s="23"/>
      <c r="C138" s="23"/>
      <c r="D138" s="25"/>
      <c r="E138" s="25"/>
      <c r="F138" s="25"/>
      <c r="G138" s="20"/>
      <c r="H138" s="21"/>
    </row>
    <row r="139" spans="1:8" ht="21" x14ac:dyDescent="0.4">
      <c r="A139" s="19" t="s">
        <v>187</v>
      </c>
      <c r="B139" s="18"/>
      <c r="C139" s="123" t="s">
        <v>188</v>
      </c>
      <c r="D139" s="22">
        <f t="shared" ref="D139:E142" si="9">D140</f>
        <v>5400000</v>
      </c>
      <c r="E139" s="22">
        <f t="shared" si="9"/>
        <v>5400000</v>
      </c>
      <c r="F139" s="22"/>
      <c r="G139" s="20" t="s">
        <v>81</v>
      </c>
      <c r="H139" s="21"/>
    </row>
    <row r="140" spans="1:8" ht="21" x14ac:dyDescent="0.4">
      <c r="A140" s="23"/>
      <c r="B140" s="24" t="s">
        <v>75</v>
      </c>
      <c r="C140" s="23" t="s">
        <v>76</v>
      </c>
      <c r="D140" s="25">
        <f t="shared" si="9"/>
        <v>5400000</v>
      </c>
      <c r="E140" s="25">
        <f t="shared" si="9"/>
        <v>5400000</v>
      </c>
      <c r="F140" s="25"/>
      <c r="G140" s="20"/>
      <c r="H140" s="21"/>
    </row>
    <row r="141" spans="1:8" ht="21" x14ac:dyDescent="0.4">
      <c r="A141" s="124"/>
      <c r="B141" s="125" t="s">
        <v>121</v>
      </c>
      <c r="C141" s="47" t="s">
        <v>158</v>
      </c>
      <c r="D141" s="25">
        <f t="shared" si="9"/>
        <v>5400000</v>
      </c>
      <c r="E141" s="25">
        <f t="shared" si="9"/>
        <v>5400000</v>
      </c>
      <c r="F141" s="25"/>
      <c r="G141" s="20"/>
      <c r="H141" s="21"/>
    </row>
    <row r="142" spans="1:8" ht="21" x14ac:dyDescent="0.4">
      <c r="A142" s="118"/>
      <c r="B142" s="126" t="s">
        <v>189</v>
      </c>
      <c r="C142" s="87" t="s">
        <v>190</v>
      </c>
      <c r="D142" s="25">
        <f t="shared" si="9"/>
        <v>5400000</v>
      </c>
      <c r="E142" s="25">
        <f t="shared" si="9"/>
        <v>5400000</v>
      </c>
      <c r="F142" s="25"/>
      <c r="G142" s="20"/>
      <c r="H142" s="21"/>
    </row>
    <row r="143" spans="1:8" ht="21" x14ac:dyDescent="0.4">
      <c r="A143" s="118"/>
      <c r="B143" s="116"/>
      <c r="C143" s="24" t="s">
        <v>191</v>
      </c>
      <c r="D143" s="51">
        <v>5400000</v>
      </c>
      <c r="E143" s="51">
        <v>5400000</v>
      </c>
      <c r="F143" s="51"/>
      <c r="G143" s="20"/>
      <c r="H143" s="21"/>
    </row>
    <row r="144" spans="1:8" ht="21" x14ac:dyDescent="0.4">
      <c r="A144" s="23"/>
      <c r="B144" s="23"/>
      <c r="C144" s="23"/>
      <c r="D144" s="25"/>
      <c r="E144" s="25"/>
      <c r="F144" s="25"/>
      <c r="G144" s="20"/>
      <c r="H144" s="21"/>
    </row>
    <row r="145" spans="1:8" ht="21" x14ac:dyDescent="0.4">
      <c r="A145" s="19" t="s">
        <v>192</v>
      </c>
      <c r="B145" s="18"/>
      <c r="C145" s="18" t="s">
        <v>193</v>
      </c>
      <c r="D145" s="22">
        <f t="shared" ref="D145:D148" si="10">D146</f>
        <v>0</v>
      </c>
      <c r="E145" s="22"/>
      <c r="F145" s="22"/>
      <c r="G145" s="20" t="s">
        <v>38</v>
      </c>
      <c r="H145" s="21"/>
    </row>
    <row r="146" spans="1:8" ht="21" x14ac:dyDescent="0.4">
      <c r="A146" s="23"/>
      <c r="B146" s="24" t="s">
        <v>56</v>
      </c>
      <c r="C146" s="23" t="s">
        <v>57</v>
      </c>
      <c r="D146" s="25">
        <f t="shared" si="10"/>
        <v>0</v>
      </c>
      <c r="E146" s="25"/>
      <c r="F146" s="25"/>
      <c r="G146" s="20"/>
      <c r="H146" s="21"/>
    </row>
    <row r="147" spans="1:8" ht="21" x14ac:dyDescent="0.4">
      <c r="A147" s="124"/>
      <c r="B147" s="125" t="s">
        <v>194</v>
      </c>
      <c r="C147" s="47" t="s">
        <v>195</v>
      </c>
      <c r="D147" s="25">
        <f t="shared" si="10"/>
        <v>0</v>
      </c>
      <c r="E147" s="25"/>
      <c r="F147" s="25"/>
      <c r="G147" s="20"/>
      <c r="H147" s="21"/>
    </row>
    <row r="148" spans="1:8" ht="21" x14ac:dyDescent="0.4">
      <c r="A148" s="118"/>
      <c r="B148" s="126" t="s">
        <v>196</v>
      </c>
      <c r="C148" s="23" t="s">
        <v>197</v>
      </c>
      <c r="D148" s="25">
        <f t="shared" si="10"/>
        <v>0</v>
      </c>
      <c r="E148" s="25"/>
      <c r="F148" s="25"/>
      <c r="G148" s="20"/>
      <c r="H148" s="21"/>
    </row>
    <row r="149" spans="1:8" ht="21" x14ac:dyDescent="0.4">
      <c r="A149" s="118"/>
      <c r="B149" s="116"/>
      <c r="C149" s="24" t="s">
        <v>198</v>
      </c>
      <c r="D149" s="25">
        <v>0</v>
      </c>
      <c r="E149" s="25"/>
      <c r="F149" s="25"/>
      <c r="G149" s="20"/>
      <c r="H149" s="21"/>
    </row>
    <row r="150" spans="1:8" ht="21" x14ac:dyDescent="0.4">
      <c r="A150" s="118"/>
      <c r="B150" s="116"/>
      <c r="C150" s="23"/>
      <c r="D150" s="25"/>
      <c r="E150" s="25"/>
      <c r="F150" s="25"/>
      <c r="G150" s="20"/>
      <c r="H150" s="21"/>
    </row>
    <row r="151" spans="1:8" ht="21" x14ac:dyDescent="0.4">
      <c r="A151" s="127" t="s">
        <v>199</v>
      </c>
      <c r="B151" s="128"/>
      <c r="C151" s="128" t="s">
        <v>200</v>
      </c>
      <c r="D151" s="129">
        <f>D152</f>
        <v>115120000</v>
      </c>
      <c r="E151" s="129">
        <v>0</v>
      </c>
      <c r="F151" s="129">
        <f>D151-E151</f>
        <v>115120000</v>
      </c>
      <c r="G151" s="112" t="s">
        <v>38</v>
      </c>
      <c r="H151" s="130"/>
    </row>
    <row r="152" spans="1:8" ht="21" x14ac:dyDescent="0.4">
      <c r="A152" s="131" t="s">
        <v>201</v>
      </c>
      <c r="B152" s="132"/>
      <c r="C152" s="132" t="s">
        <v>202</v>
      </c>
      <c r="D152" s="133">
        <f>D153+D156</f>
        <v>115120000</v>
      </c>
      <c r="E152" s="133"/>
      <c r="F152" s="129">
        <f>D152-E152</f>
        <v>115120000</v>
      </c>
      <c r="G152" s="112"/>
      <c r="H152" s="130"/>
    </row>
    <row r="153" spans="1:8" ht="21" x14ac:dyDescent="0.4">
      <c r="A153" s="23"/>
      <c r="B153" s="24" t="s">
        <v>203</v>
      </c>
      <c r="C153" s="23" t="s">
        <v>204</v>
      </c>
      <c r="D153" s="134">
        <f>D154</f>
        <v>15120000</v>
      </c>
      <c r="E153" s="134">
        <v>0</v>
      </c>
      <c r="F153" s="134">
        <f>D153-E153</f>
        <v>15120000</v>
      </c>
      <c r="G153" s="20"/>
      <c r="H153" s="53"/>
    </row>
    <row r="154" spans="1:8" ht="21" x14ac:dyDescent="0.4">
      <c r="A154" s="23"/>
      <c r="B154" s="24" t="s">
        <v>205</v>
      </c>
      <c r="C154" s="23" t="s">
        <v>206</v>
      </c>
      <c r="D154" s="134">
        <f>D155</f>
        <v>15120000</v>
      </c>
      <c r="E154" s="134">
        <v>0</v>
      </c>
      <c r="F154" s="134">
        <f t="shared" ref="F154:F155" si="11">D154-E154</f>
        <v>15120000</v>
      </c>
      <c r="G154" s="20" t="s">
        <v>38</v>
      </c>
      <c r="H154" s="53"/>
    </row>
    <row r="155" spans="1:8" ht="21" x14ac:dyDescent="0.4">
      <c r="A155" s="23"/>
      <c r="B155" s="23"/>
      <c r="C155" s="135" t="s">
        <v>207</v>
      </c>
      <c r="D155" s="134">
        <v>15120000</v>
      </c>
      <c r="E155" s="134">
        <v>0</v>
      </c>
      <c r="F155" s="134">
        <f t="shared" si="11"/>
        <v>15120000</v>
      </c>
      <c r="G155" s="20"/>
      <c r="H155" s="53"/>
    </row>
    <row r="156" spans="1:8" ht="21" x14ac:dyDescent="0.4">
      <c r="A156" s="23"/>
      <c r="B156" s="24" t="s">
        <v>208</v>
      </c>
      <c r="C156" s="23" t="s">
        <v>209</v>
      </c>
      <c r="D156" s="134">
        <f>D157</f>
        <v>100000000</v>
      </c>
      <c r="E156" s="134">
        <v>0</v>
      </c>
      <c r="F156" s="134">
        <f>D156-E156</f>
        <v>100000000</v>
      </c>
      <c r="G156" s="20" t="s">
        <v>38</v>
      </c>
      <c r="H156" s="53"/>
    </row>
    <row r="157" spans="1:8" ht="21" x14ac:dyDescent="0.4">
      <c r="A157" s="23"/>
      <c r="B157" s="23"/>
      <c r="C157" s="135" t="s">
        <v>210</v>
      </c>
      <c r="D157" s="51">
        <v>100000000</v>
      </c>
      <c r="E157" s="51">
        <v>0</v>
      </c>
      <c r="F157" s="51">
        <f>D157-E157</f>
        <v>100000000</v>
      </c>
      <c r="G157" s="20"/>
      <c r="H157" s="53"/>
    </row>
    <row r="158" spans="1:8" ht="21" x14ac:dyDescent="0.4">
      <c r="A158" s="23"/>
      <c r="B158" s="23"/>
      <c r="C158" s="136" t="s">
        <v>211</v>
      </c>
      <c r="D158" s="137"/>
      <c r="E158" s="137"/>
      <c r="F158" s="137"/>
      <c r="G158" s="20"/>
      <c r="H158" s="53"/>
    </row>
    <row r="159" spans="1:8" ht="21" x14ac:dyDescent="0.4">
      <c r="A159" s="23"/>
      <c r="B159" s="23"/>
      <c r="C159" s="23"/>
      <c r="D159" s="25"/>
      <c r="E159" s="25"/>
      <c r="F159" s="25"/>
      <c r="G159" s="20"/>
      <c r="H159" s="21"/>
    </row>
    <row r="160" spans="1:8" ht="41.4" x14ac:dyDescent="0.4">
      <c r="A160" s="127" t="s">
        <v>212</v>
      </c>
      <c r="B160" s="128"/>
      <c r="C160" s="138" t="s">
        <v>213</v>
      </c>
      <c r="D160" s="139">
        <f t="shared" ref="D160:E161" si="12">D161</f>
        <v>7350000</v>
      </c>
      <c r="E160" s="139">
        <f>E161+E168</f>
        <v>3850000</v>
      </c>
      <c r="F160" s="139">
        <f>D160-E160</f>
        <v>3500000</v>
      </c>
      <c r="G160" s="112"/>
      <c r="H160" s="130"/>
    </row>
    <row r="161" spans="1:8" ht="21" x14ac:dyDescent="0.4">
      <c r="A161" s="19" t="s">
        <v>214</v>
      </c>
      <c r="B161" s="18"/>
      <c r="C161" s="120" t="s">
        <v>215</v>
      </c>
      <c r="D161" s="22">
        <f t="shared" si="12"/>
        <v>7350000</v>
      </c>
      <c r="E161" s="22">
        <f t="shared" si="12"/>
        <v>1500000</v>
      </c>
      <c r="F161" s="22"/>
      <c r="G161" s="20" t="s">
        <v>32</v>
      </c>
      <c r="H161" s="140"/>
    </row>
    <row r="162" spans="1:8" ht="21" x14ac:dyDescent="0.4">
      <c r="A162" s="23"/>
      <c r="B162" s="24" t="s">
        <v>75</v>
      </c>
      <c r="C162" s="23" t="s">
        <v>76</v>
      </c>
      <c r="D162" s="25">
        <f>D163+D168</f>
        <v>7350000</v>
      </c>
      <c r="E162" s="25">
        <f>E163+E167</f>
        <v>1500000</v>
      </c>
      <c r="F162" s="25"/>
      <c r="G162" s="20"/>
      <c r="H162" s="140"/>
    </row>
    <row r="163" spans="1:8" ht="21" x14ac:dyDescent="0.4">
      <c r="A163" s="23"/>
      <c r="B163" s="46" t="s">
        <v>77</v>
      </c>
      <c r="C163" s="47" t="s">
        <v>78</v>
      </c>
      <c r="D163" s="25">
        <f>D165+D166</f>
        <v>5000000</v>
      </c>
      <c r="E163" s="25">
        <f>E165+E166</f>
        <v>1500000</v>
      </c>
      <c r="F163" s="25"/>
      <c r="G163" s="20"/>
      <c r="H163" s="140"/>
    </row>
    <row r="164" spans="1:8" ht="21" x14ac:dyDescent="0.4">
      <c r="A164" s="23"/>
      <c r="B164" s="24" t="s">
        <v>79</v>
      </c>
      <c r="C164" s="23" t="s">
        <v>80</v>
      </c>
      <c r="D164" s="25">
        <v>0</v>
      </c>
      <c r="E164" s="25">
        <v>0</v>
      </c>
      <c r="F164" s="25"/>
      <c r="G164" s="20"/>
      <c r="H164" s="21"/>
    </row>
    <row r="165" spans="1:8" ht="21" x14ac:dyDescent="0.4">
      <c r="A165" s="23"/>
      <c r="B165" s="24" t="s">
        <v>91</v>
      </c>
      <c r="C165" s="23" t="s">
        <v>92</v>
      </c>
      <c r="D165" s="51">
        <v>100000</v>
      </c>
      <c r="E165" s="51">
        <v>100000</v>
      </c>
      <c r="F165" s="51"/>
      <c r="G165" s="20"/>
      <c r="H165" s="21"/>
    </row>
    <row r="166" spans="1:8" ht="21" x14ac:dyDescent="0.4">
      <c r="A166" s="23"/>
      <c r="B166" s="24" t="s">
        <v>152</v>
      </c>
      <c r="C166" s="23" t="s">
        <v>153</v>
      </c>
      <c r="D166" s="51">
        <v>4900000</v>
      </c>
      <c r="E166" s="51">
        <v>1400000</v>
      </c>
      <c r="F166" s="51"/>
      <c r="G166" s="75"/>
      <c r="H166" s="21"/>
    </row>
    <row r="167" spans="1:8" ht="21" x14ac:dyDescent="0.4">
      <c r="A167" s="23"/>
      <c r="B167" s="46" t="s">
        <v>95</v>
      </c>
      <c r="C167" s="47" t="s">
        <v>96</v>
      </c>
      <c r="D167" s="25">
        <v>0</v>
      </c>
      <c r="E167" s="25">
        <v>0</v>
      </c>
      <c r="F167" s="25"/>
      <c r="G167" s="20"/>
      <c r="H167" s="21"/>
    </row>
    <row r="168" spans="1:8" ht="21" x14ac:dyDescent="0.4">
      <c r="A168" s="23"/>
      <c r="B168" s="24" t="s">
        <v>103</v>
      </c>
      <c r="C168" s="23" t="s">
        <v>216</v>
      </c>
      <c r="D168" s="25">
        <v>2350000</v>
      </c>
      <c r="E168" s="25">
        <v>2350000</v>
      </c>
      <c r="F168" s="25"/>
      <c r="G168" s="20"/>
      <c r="H168" s="21"/>
    </row>
    <row r="169" spans="1:8" ht="21" x14ac:dyDescent="0.4">
      <c r="A169" s="23"/>
      <c r="B169" s="86" t="s">
        <v>98</v>
      </c>
      <c r="C169" s="87" t="s">
        <v>217</v>
      </c>
      <c r="D169" s="51">
        <v>1500000</v>
      </c>
      <c r="E169" s="51">
        <v>1500000</v>
      </c>
      <c r="F169" s="51"/>
      <c r="G169" s="20"/>
      <c r="H169" s="21"/>
    </row>
    <row r="170" spans="1:8" ht="21" x14ac:dyDescent="0.4">
      <c r="A170" s="23"/>
      <c r="B170" s="24" t="s">
        <v>104</v>
      </c>
      <c r="C170" s="23" t="s">
        <v>218</v>
      </c>
      <c r="D170" s="51">
        <v>850000</v>
      </c>
      <c r="E170" s="51">
        <v>850000</v>
      </c>
      <c r="F170" s="51"/>
      <c r="G170" s="20"/>
      <c r="H170" s="21"/>
    </row>
    <row r="171" spans="1:8" ht="40.799999999999997" x14ac:dyDescent="0.4">
      <c r="A171" s="141" t="s">
        <v>219</v>
      </c>
      <c r="B171" s="142"/>
      <c r="C171" s="143" t="s">
        <v>220</v>
      </c>
      <c r="D171" s="144">
        <f>D172+D184+D201+D193+D178</f>
        <v>24945000</v>
      </c>
      <c r="E171" s="144">
        <f>E172+E184+E201+E193+E178</f>
        <v>24945000</v>
      </c>
      <c r="F171" s="144"/>
      <c r="G171" s="145"/>
      <c r="H171" s="146"/>
    </row>
    <row r="172" spans="1:8" ht="42" x14ac:dyDescent="0.4">
      <c r="A172" s="119" t="s">
        <v>221</v>
      </c>
      <c r="B172" s="18"/>
      <c r="C172" s="56" t="s">
        <v>222</v>
      </c>
      <c r="D172" s="57">
        <f t="shared" ref="D172:E173" si="13">D173</f>
        <v>9000000</v>
      </c>
      <c r="E172" s="57">
        <f t="shared" si="13"/>
        <v>9000000</v>
      </c>
      <c r="F172" s="57"/>
      <c r="G172" s="58" t="s">
        <v>32</v>
      </c>
      <c r="H172" s="122" t="s">
        <v>223</v>
      </c>
    </row>
    <row r="173" spans="1:8" ht="21" x14ac:dyDescent="0.4">
      <c r="A173" s="23"/>
      <c r="B173" s="24" t="s">
        <v>75</v>
      </c>
      <c r="C173" s="23" t="s">
        <v>76</v>
      </c>
      <c r="D173" s="25">
        <f t="shared" si="13"/>
        <v>9000000</v>
      </c>
      <c r="E173" s="25">
        <f t="shared" si="13"/>
        <v>9000000</v>
      </c>
      <c r="F173" s="25"/>
      <c r="G173" s="20"/>
      <c r="H173" s="21"/>
    </row>
    <row r="174" spans="1:8" ht="21" x14ac:dyDescent="0.4">
      <c r="A174" s="23"/>
      <c r="B174" s="46" t="s">
        <v>77</v>
      </c>
      <c r="C174" s="47" t="s">
        <v>78</v>
      </c>
      <c r="D174" s="25">
        <f>SUM(D175:D176)</f>
        <v>9000000</v>
      </c>
      <c r="E174" s="25">
        <f>SUM(E175:E176)</f>
        <v>9000000</v>
      </c>
      <c r="F174" s="25"/>
      <c r="G174" s="20"/>
      <c r="H174" s="21"/>
    </row>
    <row r="175" spans="1:8" ht="21" x14ac:dyDescent="0.4">
      <c r="A175" s="23"/>
      <c r="B175" s="24" t="s">
        <v>91</v>
      </c>
      <c r="C175" s="23" t="s">
        <v>92</v>
      </c>
      <c r="D175" s="25">
        <v>565000</v>
      </c>
      <c r="E175" s="25">
        <v>565000</v>
      </c>
      <c r="F175" s="25"/>
      <c r="G175" s="20"/>
      <c r="H175" s="21"/>
    </row>
    <row r="176" spans="1:8" ht="21" x14ac:dyDescent="0.4">
      <c r="A176" s="23"/>
      <c r="B176" s="24" t="s">
        <v>152</v>
      </c>
      <c r="C176" s="23" t="s">
        <v>153</v>
      </c>
      <c r="D176" s="25">
        <v>8435000</v>
      </c>
      <c r="E176" s="25">
        <v>8435000</v>
      </c>
      <c r="F176" s="25"/>
      <c r="G176" s="20"/>
      <c r="H176" s="21"/>
    </row>
    <row r="177" spans="1:8" ht="21" x14ac:dyDescent="0.4">
      <c r="A177" s="23"/>
      <c r="B177" s="23"/>
      <c r="C177" s="23"/>
      <c r="D177" s="25"/>
      <c r="E177" s="25"/>
      <c r="F177" s="25"/>
      <c r="G177" s="20"/>
      <c r="H177" s="21"/>
    </row>
    <row r="178" spans="1:8" ht="42" x14ac:dyDescent="0.4">
      <c r="A178" s="19" t="s">
        <v>224</v>
      </c>
      <c r="B178" s="18"/>
      <c r="C178" s="60" t="s">
        <v>225</v>
      </c>
      <c r="D178" s="57">
        <f t="shared" ref="D178:E179" si="14">D179</f>
        <v>6445000</v>
      </c>
      <c r="E178" s="57">
        <f t="shared" si="14"/>
        <v>6445000</v>
      </c>
      <c r="F178" s="57"/>
      <c r="G178" s="58" t="s">
        <v>163</v>
      </c>
      <c r="H178" s="21"/>
    </row>
    <row r="179" spans="1:8" ht="21" x14ac:dyDescent="0.4">
      <c r="A179" s="23"/>
      <c r="B179" s="24" t="s">
        <v>75</v>
      </c>
      <c r="C179" s="23" t="s">
        <v>76</v>
      </c>
      <c r="D179" s="25">
        <f t="shared" si="14"/>
        <v>6445000</v>
      </c>
      <c r="E179" s="25">
        <f t="shared" si="14"/>
        <v>6445000</v>
      </c>
      <c r="F179" s="25"/>
      <c r="G179" s="20"/>
      <c r="H179" s="21"/>
    </row>
    <row r="180" spans="1:8" ht="21" x14ac:dyDescent="0.4">
      <c r="A180" s="23"/>
      <c r="B180" s="46" t="s">
        <v>77</v>
      </c>
      <c r="C180" s="47" t="s">
        <v>78</v>
      </c>
      <c r="D180" s="25">
        <f>SUM(D181:D182)</f>
        <v>6445000</v>
      </c>
      <c r="E180" s="25">
        <f>SUM(E181:E182)</f>
        <v>6445000</v>
      </c>
      <c r="F180" s="25"/>
      <c r="G180" s="20"/>
      <c r="H180" s="21"/>
    </row>
    <row r="181" spans="1:8" ht="21" x14ac:dyDescent="0.4">
      <c r="A181" s="23"/>
      <c r="B181" s="24" t="s">
        <v>91</v>
      </c>
      <c r="C181" s="23" t="s">
        <v>92</v>
      </c>
      <c r="D181" s="51">
        <v>435000</v>
      </c>
      <c r="E181" s="51">
        <v>435000</v>
      </c>
      <c r="F181" s="51"/>
      <c r="G181" s="20"/>
      <c r="H181" s="21"/>
    </row>
    <row r="182" spans="1:8" ht="21" x14ac:dyDescent="0.4">
      <c r="A182" s="23"/>
      <c r="B182" s="24" t="s">
        <v>152</v>
      </c>
      <c r="C182" s="23" t="s">
        <v>153</v>
      </c>
      <c r="D182" s="51">
        <v>6010000</v>
      </c>
      <c r="E182" s="51">
        <v>6010000</v>
      </c>
      <c r="F182" s="51"/>
      <c r="G182" s="20"/>
      <c r="H182" s="21"/>
    </row>
    <row r="183" spans="1:8" ht="21" x14ac:dyDescent="0.4">
      <c r="A183" s="23"/>
      <c r="B183" s="23"/>
      <c r="C183" s="23"/>
      <c r="D183" s="25"/>
      <c r="E183" s="25"/>
      <c r="F183" s="25"/>
      <c r="G183" s="20"/>
      <c r="H183" s="21"/>
    </row>
    <row r="184" spans="1:8" ht="42" x14ac:dyDescent="0.4">
      <c r="A184" s="119" t="s">
        <v>226</v>
      </c>
      <c r="B184" s="18"/>
      <c r="C184" s="56" t="s">
        <v>227</v>
      </c>
      <c r="D184" s="57">
        <f>D185</f>
        <v>7500000</v>
      </c>
      <c r="E184" s="57">
        <f>E185</f>
        <v>7500000</v>
      </c>
      <c r="F184" s="57"/>
      <c r="G184" s="58" t="s">
        <v>35</v>
      </c>
      <c r="H184" s="21"/>
    </row>
    <row r="185" spans="1:8" ht="21" x14ac:dyDescent="0.4">
      <c r="A185" s="23"/>
      <c r="B185" s="24" t="s">
        <v>75</v>
      </c>
      <c r="C185" s="23" t="s">
        <v>76</v>
      </c>
      <c r="D185" s="25">
        <f>D186+D190</f>
        <v>7500000</v>
      </c>
      <c r="E185" s="25">
        <f>E186+E190</f>
        <v>7500000</v>
      </c>
      <c r="F185" s="25"/>
      <c r="G185" s="20"/>
      <c r="H185" s="21"/>
    </row>
    <row r="186" spans="1:8" ht="21" x14ac:dyDescent="0.4">
      <c r="A186" s="23"/>
      <c r="B186" s="46" t="s">
        <v>77</v>
      </c>
      <c r="C186" s="47" t="s">
        <v>78</v>
      </c>
      <c r="D186" s="25">
        <f>SUM(D187:D189)</f>
        <v>0</v>
      </c>
      <c r="E186" s="25">
        <f>SUM(E187:E189)</f>
        <v>0</v>
      </c>
      <c r="F186" s="25"/>
      <c r="G186" s="20"/>
      <c r="H186" s="21"/>
    </row>
    <row r="187" spans="1:8" ht="21" x14ac:dyDescent="0.4">
      <c r="A187" s="23"/>
      <c r="B187" s="24" t="s">
        <v>79</v>
      </c>
      <c r="C187" s="23" t="s">
        <v>80</v>
      </c>
      <c r="D187" s="25">
        <v>0</v>
      </c>
      <c r="E187" s="25">
        <v>0</v>
      </c>
      <c r="F187" s="25"/>
      <c r="G187" s="20"/>
      <c r="H187" s="21"/>
    </row>
    <row r="188" spans="1:8" ht="21" x14ac:dyDescent="0.4">
      <c r="A188" s="23"/>
      <c r="B188" s="24" t="s">
        <v>91</v>
      </c>
      <c r="C188" s="23" t="s">
        <v>92</v>
      </c>
      <c r="D188" s="25">
        <v>0</v>
      </c>
      <c r="E188" s="25">
        <v>0</v>
      </c>
      <c r="F188" s="25"/>
      <c r="G188" s="20"/>
      <c r="H188" s="21"/>
    </row>
    <row r="189" spans="1:8" ht="21" x14ac:dyDescent="0.4">
      <c r="A189" s="23"/>
      <c r="B189" s="24" t="s">
        <v>152</v>
      </c>
      <c r="C189" s="23" t="s">
        <v>153</v>
      </c>
      <c r="D189" s="25">
        <v>0</v>
      </c>
      <c r="E189" s="25">
        <v>0</v>
      </c>
      <c r="F189" s="25"/>
      <c r="G189" s="20"/>
      <c r="H189" s="21"/>
    </row>
    <row r="190" spans="1:8" ht="21" x14ac:dyDescent="0.4">
      <c r="A190" s="23"/>
      <c r="B190" s="46" t="s">
        <v>95</v>
      </c>
      <c r="C190" s="47" t="s">
        <v>96</v>
      </c>
      <c r="D190" s="25">
        <v>7500000</v>
      </c>
      <c r="E190" s="25">
        <v>7500000</v>
      </c>
      <c r="F190" s="25"/>
      <c r="G190" s="20"/>
      <c r="H190" s="21"/>
    </row>
    <row r="191" spans="1:8" ht="21" x14ac:dyDescent="0.4">
      <c r="A191" s="23"/>
      <c r="B191" s="86" t="s">
        <v>98</v>
      </c>
      <c r="C191" s="87" t="s">
        <v>228</v>
      </c>
      <c r="D191" s="51">
        <v>7500000</v>
      </c>
      <c r="E191" s="51">
        <v>7500000</v>
      </c>
      <c r="F191" s="51"/>
      <c r="G191" s="20"/>
      <c r="H191" s="21"/>
    </row>
    <row r="192" spans="1:8" ht="21" x14ac:dyDescent="0.4">
      <c r="A192" s="23"/>
      <c r="B192" s="23"/>
      <c r="C192" s="23"/>
      <c r="D192" s="25"/>
      <c r="E192" s="25"/>
      <c r="F192" s="25"/>
      <c r="G192" s="20"/>
      <c r="H192" s="21"/>
    </row>
    <row r="193" spans="1:8" ht="42" x14ac:dyDescent="0.4">
      <c r="A193" s="54" t="s">
        <v>229</v>
      </c>
      <c r="B193" s="18"/>
      <c r="C193" s="56" t="s">
        <v>230</v>
      </c>
      <c r="D193" s="57">
        <f>D194</f>
        <v>2000000</v>
      </c>
      <c r="E193" s="57">
        <f>E194</f>
        <v>2000000</v>
      </c>
      <c r="F193" s="57"/>
      <c r="G193" s="58" t="s">
        <v>163</v>
      </c>
      <c r="H193" s="21"/>
    </row>
    <row r="194" spans="1:8" ht="21" x14ac:dyDescent="0.4">
      <c r="A194" s="23"/>
      <c r="B194" s="24" t="s">
        <v>75</v>
      </c>
      <c r="C194" s="23" t="s">
        <v>76</v>
      </c>
      <c r="D194" s="25">
        <v>2000000</v>
      </c>
      <c r="E194" s="25">
        <v>2000000</v>
      </c>
      <c r="F194" s="25"/>
      <c r="G194" s="20"/>
      <c r="H194" s="21"/>
    </row>
    <row r="195" spans="1:8" ht="21" x14ac:dyDescent="0.4">
      <c r="A195" s="23"/>
      <c r="B195" s="46" t="s">
        <v>77</v>
      </c>
      <c r="C195" s="47" t="s">
        <v>78</v>
      </c>
      <c r="D195" s="25">
        <f>SUM(D196:D198)</f>
        <v>800000</v>
      </c>
      <c r="E195" s="25">
        <f>SUM(E196:E198)</f>
        <v>800000</v>
      </c>
      <c r="F195" s="25"/>
      <c r="G195" s="20"/>
      <c r="H195" s="21"/>
    </row>
    <row r="196" spans="1:8" ht="21" x14ac:dyDescent="0.4">
      <c r="A196" s="23"/>
      <c r="B196" s="24" t="s">
        <v>79</v>
      </c>
      <c r="C196" s="23" t="s">
        <v>80</v>
      </c>
      <c r="D196" s="25">
        <v>0</v>
      </c>
      <c r="E196" s="25">
        <v>0</v>
      </c>
      <c r="F196" s="25"/>
      <c r="G196" s="20"/>
      <c r="H196" s="21"/>
    </row>
    <row r="197" spans="1:8" ht="21" x14ac:dyDescent="0.4">
      <c r="A197" s="23"/>
      <c r="B197" s="24" t="s">
        <v>91</v>
      </c>
      <c r="C197" s="23" t="s">
        <v>92</v>
      </c>
      <c r="D197" s="25">
        <v>0</v>
      </c>
      <c r="E197" s="25">
        <v>0</v>
      </c>
      <c r="F197" s="25"/>
      <c r="G197" s="20"/>
      <c r="H197" s="21"/>
    </row>
    <row r="198" spans="1:8" ht="21" x14ac:dyDescent="0.4">
      <c r="A198" s="23"/>
      <c r="B198" s="24" t="s">
        <v>152</v>
      </c>
      <c r="C198" s="23" t="s">
        <v>153</v>
      </c>
      <c r="D198" s="25">
        <v>800000</v>
      </c>
      <c r="E198" s="25">
        <v>800000</v>
      </c>
      <c r="F198" s="25"/>
      <c r="G198" s="20"/>
      <c r="H198" s="21"/>
    </row>
    <row r="199" spans="1:8" ht="21" x14ac:dyDescent="0.4">
      <c r="A199" s="23"/>
      <c r="B199" s="24" t="s">
        <v>95</v>
      </c>
      <c r="C199" s="23" t="s">
        <v>96</v>
      </c>
      <c r="D199" s="25">
        <v>1200000</v>
      </c>
      <c r="E199" s="25">
        <v>1200000</v>
      </c>
      <c r="F199" s="25"/>
      <c r="G199" s="20"/>
      <c r="H199" s="21"/>
    </row>
    <row r="200" spans="1:8" ht="21" x14ac:dyDescent="0.4">
      <c r="A200" s="23"/>
      <c r="B200" s="86" t="s">
        <v>98</v>
      </c>
      <c r="C200" s="87" t="s">
        <v>228</v>
      </c>
      <c r="D200" s="51">
        <v>1200000</v>
      </c>
      <c r="E200" s="51">
        <v>1200000</v>
      </c>
      <c r="F200" s="51"/>
      <c r="G200" s="20"/>
      <c r="H200" s="21"/>
    </row>
    <row r="201" spans="1:8" ht="42" x14ac:dyDescent="0.4">
      <c r="A201" s="54" t="s">
        <v>231</v>
      </c>
      <c r="B201" s="18"/>
      <c r="C201" s="60" t="s">
        <v>232</v>
      </c>
      <c r="D201" s="22">
        <f t="shared" ref="D201:E203" si="15">D202</f>
        <v>0</v>
      </c>
      <c r="E201" s="22">
        <f t="shared" si="15"/>
        <v>0</v>
      </c>
      <c r="F201" s="22"/>
      <c r="G201" s="20" t="s">
        <v>35</v>
      </c>
      <c r="H201" s="21"/>
    </row>
    <row r="202" spans="1:8" ht="21" x14ac:dyDescent="0.4">
      <c r="A202" s="23"/>
      <c r="B202" s="24" t="s">
        <v>75</v>
      </c>
      <c r="C202" s="23" t="s">
        <v>76</v>
      </c>
      <c r="D202" s="25">
        <f t="shared" si="15"/>
        <v>0</v>
      </c>
      <c r="E202" s="25">
        <f t="shared" si="15"/>
        <v>0</v>
      </c>
      <c r="F202" s="25"/>
      <c r="G202" s="20"/>
      <c r="H202" s="21"/>
    </row>
    <row r="203" spans="1:8" ht="21" x14ac:dyDescent="0.4">
      <c r="A203" s="23"/>
      <c r="B203" s="46" t="s">
        <v>95</v>
      </c>
      <c r="C203" s="47" t="s">
        <v>96</v>
      </c>
      <c r="D203" s="25">
        <f t="shared" si="15"/>
        <v>0</v>
      </c>
      <c r="E203" s="25">
        <f t="shared" si="15"/>
        <v>0</v>
      </c>
      <c r="F203" s="25"/>
      <c r="G203" s="20"/>
      <c r="H203" s="21"/>
    </row>
    <row r="204" spans="1:8" ht="21" x14ac:dyDescent="0.4">
      <c r="A204" s="23"/>
      <c r="B204" s="24" t="s">
        <v>104</v>
      </c>
      <c r="C204" s="23" t="s">
        <v>233</v>
      </c>
      <c r="D204" s="25">
        <v>0</v>
      </c>
      <c r="E204" s="25">
        <v>0</v>
      </c>
      <c r="F204" s="25"/>
      <c r="G204" s="20"/>
      <c r="H204" s="21"/>
    </row>
    <row r="205" spans="1:8" ht="21" x14ac:dyDescent="0.4">
      <c r="A205" s="23"/>
      <c r="B205" s="24"/>
      <c r="C205" s="23"/>
      <c r="D205" s="25"/>
      <c r="E205" s="25"/>
      <c r="F205" s="25"/>
      <c r="G205" s="20"/>
      <c r="H205" s="21"/>
    </row>
    <row r="206" spans="1:8" ht="21" x14ac:dyDescent="0.4">
      <c r="A206" s="147" t="s">
        <v>231</v>
      </c>
      <c r="B206" s="66"/>
      <c r="C206" s="148" t="s">
        <v>234</v>
      </c>
      <c r="D206" s="149">
        <f t="shared" ref="D206:E208" si="16">D207</f>
        <v>4782000</v>
      </c>
      <c r="E206" s="149">
        <f t="shared" si="16"/>
        <v>4782000</v>
      </c>
      <c r="F206" s="149"/>
      <c r="G206" s="44" t="s">
        <v>163</v>
      </c>
      <c r="H206" s="45"/>
    </row>
    <row r="207" spans="1:8" ht="21" x14ac:dyDescent="0.4">
      <c r="A207" s="117"/>
      <c r="B207" s="24" t="s">
        <v>75</v>
      </c>
      <c r="C207" s="150" t="s">
        <v>76</v>
      </c>
      <c r="D207" s="25">
        <f t="shared" si="16"/>
        <v>4782000</v>
      </c>
      <c r="E207" s="25">
        <f t="shared" si="16"/>
        <v>4782000</v>
      </c>
      <c r="F207" s="25"/>
      <c r="G207" s="20"/>
      <c r="H207" s="21"/>
    </row>
    <row r="208" spans="1:8" ht="21" x14ac:dyDescent="0.4">
      <c r="A208" s="117"/>
      <c r="B208" s="46" t="s">
        <v>77</v>
      </c>
      <c r="C208" s="151" t="s">
        <v>235</v>
      </c>
      <c r="D208" s="25">
        <f t="shared" si="16"/>
        <v>4782000</v>
      </c>
      <c r="E208" s="25">
        <f t="shared" si="16"/>
        <v>4782000</v>
      </c>
      <c r="F208" s="25"/>
      <c r="G208" s="20"/>
      <c r="H208" s="21"/>
    </row>
    <row r="209" spans="1:8" ht="21" x14ac:dyDescent="0.4">
      <c r="A209" s="117"/>
      <c r="B209" s="24" t="s">
        <v>79</v>
      </c>
      <c r="C209" s="150" t="s">
        <v>236</v>
      </c>
      <c r="D209" s="25">
        <v>4782000</v>
      </c>
      <c r="E209" s="25">
        <v>4782000</v>
      </c>
      <c r="F209" s="25"/>
      <c r="G209" s="20"/>
      <c r="H209" s="21"/>
    </row>
    <row r="210" spans="1:8" ht="21" x14ac:dyDescent="0.4">
      <c r="A210" s="117"/>
      <c r="B210" s="24"/>
      <c r="C210" s="152"/>
      <c r="D210" s="25"/>
      <c r="E210" s="25"/>
      <c r="F210" s="25"/>
      <c r="G210" s="20"/>
      <c r="H210" s="21"/>
    </row>
    <row r="211" spans="1:8" ht="21" x14ac:dyDescent="0.4">
      <c r="A211" s="153">
        <v>1.6</v>
      </c>
      <c r="B211" s="154"/>
      <c r="C211" s="155" t="s">
        <v>237</v>
      </c>
      <c r="D211" s="156">
        <v>7500000</v>
      </c>
      <c r="E211" s="156">
        <v>7500000</v>
      </c>
      <c r="F211" s="156"/>
      <c r="G211" s="100" t="s">
        <v>35</v>
      </c>
      <c r="H211" s="101"/>
    </row>
    <row r="212" spans="1:8" ht="21" x14ac:dyDescent="0.4">
      <c r="A212" s="23"/>
      <c r="B212" s="126">
        <v>5.2</v>
      </c>
      <c r="C212" s="157" t="s">
        <v>238</v>
      </c>
      <c r="D212" s="25">
        <v>7500000</v>
      </c>
      <c r="E212" s="25">
        <v>7500000</v>
      </c>
      <c r="F212" s="25"/>
      <c r="G212" s="20"/>
      <c r="H212" s="21"/>
    </row>
    <row r="213" spans="1:8" ht="21" x14ac:dyDescent="0.4">
      <c r="A213" s="23"/>
      <c r="B213" s="24" t="s">
        <v>77</v>
      </c>
      <c r="C213" s="151" t="s">
        <v>239</v>
      </c>
      <c r="D213" s="25"/>
      <c r="E213" s="25"/>
      <c r="F213" s="25"/>
      <c r="G213" s="20"/>
      <c r="H213" s="21"/>
    </row>
    <row r="214" spans="1:8" ht="21" x14ac:dyDescent="0.4">
      <c r="A214" s="23"/>
      <c r="B214" s="24" t="s">
        <v>165</v>
      </c>
      <c r="C214" s="151" t="s">
        <v>240</v>
      </c>
      <c r="D214" s="25">
        <v>7500000</v>
      </c>
      <c r="E214" s="25">
        <v>7500000</v>
      </c>
      <c r="F214" s="25"/>
      <c r="G214" s="20"/>
      <c r="H214" s="21"/>
    </row>
    <row r="215" spans="1:8" ht="21" x14ac:dyDescent="0.4">
      <c r="A215" s="23"/>
      <c r="B215" s="23"/>
      <c r="C215" s="23"/>
      <c r="D215" s="25"/>
      <c r="E215" s="25"/>
      <c r="F215" s="25"/>
      <c r="G215" s="20"/>
      <c r="H215" s="21"/>
    </row>
    <row r="216" spans="1:8" ht="21" x14ac:dyDescent="0.4">
      <c r="A216" s="23"/>
      <c r="B216" s="23"/>
      <c r="C216" s="23"/>
      <c r="D216" s="25"/>
      <c r="E216" s="25"/>
      <c r="F216" s="25"/>
      <c r="G216" s="20"/>
      <c r="H216" s="21"/>
    </row>
    <row r="217" spans="1:8" ht="21" x14ac:dyDescent="0.4">
      <c r="A217" s="158" t="s">
        <v>241</v>
      </c>
      <c r="B217" s="159"/>
      <c r="C217" s="160" t="s">
        <v>242</v>
      </c>
      <c r="D217" s="161">
        <f>D218+D234+D282+D289+D294</f>
        <v>818083000</v>
      </c>
      <c r="E217" s="161">
        <f>E218+E234+E281+E294</f>
        <v>178372000</v>
      </c>
      <c r="F217" s="161">
        <f>F234+F281</f>
        <v>639711000</v>
      </c>
      <c r="G217" s="162"/>
      <c r="H217" s="113"/>
    </row>
    <row r="218" spans="1:8" ht="21" x14ac:dyDescent="0.4">
      <c r="A218" s="19" t="s">
        <v>243</v>
      </c>
      <c r="B218" s="18"/>
      <c r="C218" s="18" t="s">
        <v>244</v>
      </c>
      <c r="D218" s="22">
        <f>D219+D228</f>
        <v>27660000</v>
      </c>
      <c r="E218" s="22">
        <f>D218</f>
        <v>27660000</v>
      </c>
      <c r="F218" s="22"/>
      <c r="G218" s="20"/>
      <c r="H218" s="21"/>
    </row>
    <row r="219" spans="1:8" ht="21" x14ac:dyDescent="0.4">
      <c r="A219" s="85" t="s">
        <v>245</v>
      </c>
      <c r="B219" s="62"/>
      <c r="C219" s="62" t="s">
        <v>246</v>
      </c>
      <c r="D219" s="163">
        <f>D220</f>
        <v>26160000</v>
      </c>
      <c r="E219" s="163">
        <f>E220</f>
        <v>26160000</v>
      </c>
      <c r="F219" s="163"/>
      <c r="G219" s="20" t="s">
        <v>32</v>
      </c>
      <c r="H219" s="53"/>
    </row>
    <row r="220" spans="1:8" ht="21" x14ac:dyDescent="0.4">
      <c r="A220" s="47"/>
      <c r="B220" s="24" t="s">
        <v>75</v>
      </c>
      <c r="C220" s="23" t="s">
        <v>76</v>
      </c>
      <c r="D220" s="48">
        <f>D223+D221</f>
        <v>26160000</v>
      </c>
      <c r="E220" s="48">
        <f>E223+E221</f>
        <v>26160000</v>
      </c>
      <c r="F220" s="48"/>
      <c r="G220" s="164"/>
      <c r="H220" s="53"/>
    </row>
    <row r="221" spans="1:8" ht="21" x14ac:dyDescent="0.4">
      <c r="A221" s="47"/>
      <c r="B221" s="46" t="s">
        <v>77</v>
      </c>
      <c r="C221" s="47" t="s">
        <v>78</v>
      </c>
      <c r="D221" s="48">
        <f>D222</f>
        <v>0</v>
      </c>
      <c r="E221" s="48">
        <f>E222</f>
        <v>0</v>
      </c>
      <c r="F221" s="48"/>
      <c r="G221" s="164"/>
      <c r="H221" s="21"/>
    </row>
    <row r="222" spans="1:8" ht="21" x14ac:dyDescent="0.4">
      <c r="A222" s="23"/>
      <c r="B222" s="24" t="s">
        <v>247</v>
      </c>
      <c r="C222" s="23" t="s">
        <v>248</v>
      </c>
      <c r="D222" s="25">
        <v>0</v>
      </c>
      <c r="E222" s="25">
        <v>0</v>
      </c>
      <c r="F222" s="25"/>
      <c r="G222" s="20"/>
      <c r="H222" s="21"/>
    </row>
    <row r="223" spans="1:8" ht="21" x14ac:dyDescent="0.4">
      <c r="A223" s="23"/>
      <c r="B223" s="24" t="s">
        <v>95</v>
      </c>
      <c r="C223" s="23" t="s">
        <v>96</v>
      </c>
      <c r="D223" s="25">
        <f>D224</f>
        <v>26160000</v>
      </c>
      <c r="E223" s="25">
        <f>E224</f>
        <v>26160000</v>
      </c>
      <c r="F223" s="25"/>
      <c r="G223" s="20"/>
      <c r="H223" s="53"/>
    </row>
    <row r="224" spans="1:8" ht="21" x14ac:dyDescent="0.4">
      <c r="A224" s="23"/>
      <c r="B224" s="24" t="s">
        <v>104</v>
      </c>
      <c r="C224" s="23" t="s">
        <v>249</v>
      </c>
      <c r="D224" s="25">
        <f>SUM(D225:D226)</f>
        <v>26160000</v>
      </c>
      <c r="E224" s="25">
        <f>SUM(E225:E226)</f>
        <v>26160000</v>
      </c>
      <c r="F224" s="25"/>
      <c r="G224" s="20"/>
      <c r="H224" s="21"/>
    </row>
    <row r="225" spans="1:8" ht="21" x14ac:dyDescent="0.4">
      <c r="A225" s="23"/>
      <c r="B225" s="23"/>
      <c r="C225" s="24" t="s">
        <v>250</v>
      </c>
      <c r="D225" s="25">
        <v>8160000</v>
      </c>
      <c r="E225" s="25">
        <v>8160000</v>
      </c>
      <c r="F225" s="25"/>
      <c r="G225" s="20"/>
      <c r="H225" s="21"/>
    </row>
    <row r="226" spans="1:8" ht="21" x14ac:dyDescent="0.4">
      <c r="A226" s="165"/>
      <c r="B226" s="165"/>
      <c r="C226" s="166" t="s">
        <v>251</v>
      </c>
      <c r="D226" s="167">
        <v>18000000</v>
      </c>
      <c r="E226" s="167">
        <v>18000000</v>
      </c>
      <c r="F226" s="167"/>
      <c r="G226" s="168"/>
      <c r="H226" s="169"/>
    </row>
    <row r="227" spans="1:8" ht="21" x14ac:dyDescent="0.4">
      <c r="A227" s="23"/>
      <c r="B227" s="23"/>
      <c r="C227" s="23"/>
      <c r="D227" s="25"/>
      <c r="E227" s="25"/>
      <c r="F227" s="25"/>
      <c r="G227" s="20"/>
      <c r="H227" s="21"/>
    </row>
    <row r="228" spans="1:8" ht="21" x14ac:dyDescent="0.4">
      <c r="A228" s="85" t="s">
        <v>252</v>
      </c>
      <c r="B228" s="62"/>
      <c r="C228" s="62" t="s">
        <v>253</v>
      </c>
      <c r="D228" s="163">
        <f>D229</f>
        <v>1500000</v>
      </c>
      <c r="E228" s="163">
        <f>E229</f>
        <v>1500000</v>
      </c>
      <c r="F228" s="163"/>
      <c r="G228" s="20" t="s">
        <v>32</v>
      </c>
      <c r="H228" s="21"/>
    </row>
    <row r="229" spans="1:8" ht="21" x14ac:dyDescent="0.4">
      <c r="A229" s="23"/>
      <c r="B229" s="24" t="s">
        <v>203</v>
      </c>
      <c r="C229" s="23" t="s">
        <v>76</v>
      </c>
      <c r="D229" s="25">
        <f>D231</f>
        <v>1500000</v>
      </c>
      <c r="E229" s="25">
        <f>E231</f>
        <v>1500000</v>
      </c>
      <c r="F229" s="25"/>
      <c r="G229" s="20"/>
      <c r="H229" s="21"/>
    </row>
    <row r="230" spans="1:8" ht="21" x14ac:dyDescent="0.4">
      <c r="A230" s="23"/>
      <c r="B230" s="46" t="s">
        <v>254</v>
      </c>
      <c r="C230" s="47" t="s">
        <v>255</v>
      </c>
      <c r="D230" s="25">
        <v>0</v>
      </c>
      <c r="E230" s="25">
        <v>0</v>
      </c>
      <c r="F230" s="25"/>
      <c r="G230" s="20"/>
      <c r="H230" s="21"/>
    </row>
    <row r="231" spans="1:8" ht="21" x14ac:dyDescent="0.4">
      <c r="A231" s="23"/>
      <c r="B231" s="24" t="s">
        <v>256</v>
      </c>
      <c r="C231" s="23" t="s">
        <v>257</v>
      </c>
      <c r="D231" s="25">
        <v>1500000</v>
      </c>
      <c r="E231" s="25">
        <v>1500000</v>
      </c>
      <c r="F231" s="25"/>
      <c r="G231" s="20"/>
      <c r="H231" s="21"/>
    </row>
    <row r="232" spans="1:8" ht="21" x14ac:dyDescent="0.4">
      <c r="A232" s="23"/>
      <c r="B232" s="23"/>
      <c r="C232" s="23"/>
      <c r="D232" s="25"/>
      <c r="E232" s="25"/>
      <c r="F232" s="25"/>
      <c r="G232" s="20"/>
      <c r="H232" s="21"/>
    </row>
    <row r="233" spans="1:8" ht="21" x14ac:dyDescent="0.4">
      <c r="A233" s="23"/>
      <c r="B233" s="23"/>
      <c r="C233" s="23"/>
      <c r="D233" s="25"/>
      <c r="E233" s="25"/>
      <c r="F233" s="25"/>
      <c r="G233" s="20"/>
      <c r="H233" s="21"/>
    </row>
    <row r="234" spans="1:8" ht="21" x14ac:dyDescent="0.4">
      <c r="A234" s="19" t="s">
        <v>258</v>
      </c>
      <c r="B234" s="18"/>
      <c r="C234" s="121" t="s">
        <v>259</v>
      </c>
      <c r="D234" s="57">
        <f>D235+D245+D266+D277</f>
        <v>120690000</v>
      </c>
      <c r="E234" s="57">
        <f>E235+E245+E266+E277</f>
        <v>117712000</v>
      </c>
      <c r="F234" s="57">
        <f>D234-E234</f>
        <v>2978000</v>
      </c>
      <c r="G234" s="20"/>
      <c r="H234" s="21"/>
    </row>
    <row r="235" spans="1:8" ht="42" x14ac:dyDescent="0.4">
      <c r="A235" s="19" t="s">
        <v>260</v>
      </c>
      <c r="B235" s="18"/>
      <c r="C235" s="60" t="s">
        <v>261</v>
      </c>
      <c r="D235" s="57">
        <f>D236</f>
        <v>3000000</v>
      </c>
      <c r="E235" s="57">
        <v>1200000</v>
      </c>
      <c r="F235" s="57">
        <f>D235-E235</f>
        <v>1800000</v>
      </c>
      <c r="G235" s="20" t="s">
        <v>32</v>
      </c>
      <c r="H235" s="21"/>
    </row>
    <row r="236" spans="1:8" ht="21" x14ac:dyDescent="0.4">
      <c r="A236" s="23"/>
      <c r="B236" s="24" t="s">
        <v>75</v>
      </c>
      <c r="C236" s="23" t="s">
        <v>76</v>
      </c>
      <c r="D236" s="25">
        <f>D237+D242</f>
        <v>3000000</v>
      </c>
      <c r="E236" s="25">
        <v>1200000</v>
      </c>
      <c r="F236" s="25">
        <f>D236-E236</f>
        <v>1800000</v>
      </c>
      <c r="G236" s="20"/>
      <c r="H236" s="21"/>
    </row>
    <row r="237" spans="1:8" ht="21" x14ac:dyDescent="0.4">
      <c r="A237" s="23"/>
      <c r="B237" s="46" t="s">
        <v>77</v>
      </c>
      <c r="C237" s="47" t="s">
        <v>78</v>
      </c>
      <c r="D237" s="25">
        <f>SUM(D238:D241)</f>
        <v>0</v>
      </c>
      <c r="E237" s="25"/>
      <c r="F237" s="25">
        <f t="shared" ref="F237:F243" si="17">D237-E237</f>
        <v>0</v>
      </c>
      <c r="G237" s="20"/>
      <c r="H237" s="21"/>
    </row>
    <row r="238" spans="1:8" ht="21" x14ac:dyDescent="0.4">
      <c r="A238" s="23"/>
      <c r="B238" s="24" t="s">
        <v>79</v>
      </c>
      <c r="C238" s="23" t="s">
        <v>80</v>
      </c>
      <c r="D238" s="25">
        <v>0</v>
      </c>
      <c r="E238" s="25"/>
      <c r="F238" s="25">
        <f t="shared" si="17"/>
        <v>0</v>
      </c>
      <c r="G238" s="20"/>
      <c r="H238" s="122"/>
    </row>
    <row r="239" spans="1:8" ht="21" x14ac:dyDescent="0.35">
      <c r="A239" s="23"/>
      <c r="B239" s="24" t="s">
        <v>87</v>
      </c>
      <c r="C239" s="170" t="s">
        <v>88</v>
      </c>
      <c r="D239" s="25">
        <v>0</v>
      </c>
      <c r="E239" s="25"/>
      <c r="F239" s="25">
        <f t="shared" si="17"/>
        <v>0</v>
      </c>
      <c r="G239" s="58"/>
      <c r="H239" s="122"/>
    </row>
    <row r="240" spans="1:8" ht="21" x14ac:dyDescent="0.35">
      <c r="A240" s="76"/>
      <c r="B240" s="72" t="s">
        <v>262</v>
      </c>
      <c r="C240" s="28" t="s">
        <v>263</v>
      </c>
      <c r="D240" s="171"/>
      <c r="E240" s="171"/>
      <c r="F240" s="25">
        <f t="shared" si="17"/>
        <v>0</v>
      </c>
      <c r="G240" s="172"/>
      <c r="H240" s="122"/>
    </row>
    <row r="241" spans="1:8" ht="21" x14ac:dyDescent="0.4">
      <c r="A241" s="76"/>
      <c r="B241" s="72" t="s">
        <v>93</v>
      </c>
      <c r="C241" s="28" t="s">
        <v>264</v>
      </c>
      <c r="D241" s="171"/>
      <c r="E241" s="171"/>
      <c r="F241" s="25">
        <f t="shared" si="17"/>
        <v>0</v>
      </c>
      <c r="G241" s="172"/>
      <c r="H241" s="21"/>
    </row>
    <row r="242" spans="1:8" ht="21" x14ac:dyDescent="0.4">
      <c r="A242" s="76"/>
      <c r="B242" s="173" t="s">
        <v>95</v>
      </c>
      <c r="C242" s="174" t="s">
        <v>96</v>
      </c>
      <c r="D242" s="25">
        <f>D243</f>
        <v>3000000</v>
      </c>
      <c r="E242" s="25">
        <v>1200000</v>
      </c>
      <c r="F242" s="25">
        <f t="shared" si="17"/>
        <v>1800000</v>
      </c>
      <c r="G242" s="29"/>
      <c r="H242" s="21"/>
    </row>
    <row r="243" spans="1:8" ht="21" x14ac:dyDescent="0.4">
      <c r="A243" s="76"/>
      <c r="B243" s="72" t="s">
        <v>104</v>
      </c>
      <c r="C243" s="28" t="s">
        <v>265</v>
      </c>
      <c r="D243" s="51">
        <v>3000000</v>
      </c>
      <c r="E243" s="51">
        <v>1200000</v>
      </c>
      <c r="F243" s="25">
        <f t="shared" si="17"/>
        <v>1800000</v>
      </c>
      <c r="G243" s="29"/>
      <c r="H243" s="21"/>
    </row>
    <row r="244" spans="1:8" ht="21" x14ac:dyDescent="0.4">
      <c r="A244" s="23"/>
      <c r="B244" s="28"/>
      <c r="C244" s="28"/>
      <c r="D244" s="171"/>
      <c r="E244" s="171"/>
      <c r="F244" s="171"/>
      <c r="G244" s="29"/>
      <c r="H244" s="21"/>
    </row>
    <row r="245" spans="1:8" ht="63" x14ac:dyDescent="0.4">
      <c r="A245" s="108" t="s">
        <v>266</v>
      </c>
      <c r="B245" s="109"/>
      <c r="C245" s="110" t="s">
        <v>267</v>
      </c>
      <c r="D245" s="111">
        <f>D246</f>
        <v>102690000</v>
      </c>
      <c r="E245" s="111">
        <f>E246</f>
        <v>101512000</v>
      </c>
      <c r="F245" s="111">
        <f>D245-E245</f>
        <v>1178000</v>
      </c>
      <c r="G245" s="175" t="s">
        <v>32</v>
      </c>
      <c r="H245" s="113"/>
    </row>
    <row r="246" spans="1:8" ht="21" x14ac:dyDescent="0.4">
      <c r="A246" s="18"/>
      <c r="B246" s="18"/>
      <c r="C246" s="176" t="s">
        <v>268</v>
      </c>
      <c r="D246" s="22">
        <f>D247</f>
        <v>102690000</v>
      </c>
      <c r="E246" s="22">
        <f>E247</f>
        <v>101512000</v>
      </c>
      <c r="F246" s="22"/>
      <c r="G246" s="20"/>
      <c r="H246" s="21"/>
    </row>
    <row r="247" spans="1:8" ht="21" x14ac:dyDescent="0.4">
      <c r="A247" s="23"/>
      <c r="B247" s="24" t="s">
        <v>75</v>
      </c>
      <c r="C247" s="23" t="s">
        <v>76</v>
      </c>
      <c r="D247" s="25">
        <f>D248+D256</f>
        <v>102690000</v>
      </c>
      <c r="E247" s="25">
        <f>E248+E256</f>
        <v>101512000</v>
      </c>
      <c r="F247" s="25"/>
      <c r="G247" s="20"/>
      <c r="H247" s="21"/>
    </row>
    <row r="248" spans="1:8" ht="21" x14ac:dyDescent="0.4">
      <c r="A248" s="23"/>
      <c r="B248" s="46" t="s">
        <v>77</v>
      </c>
      <c r="C248" s="47" t="s">
        <v>78</v>
      </c>
      <c r="D248" s="25">
        <f>D249+D250+D251+D252+D253</f>
        <v>84290000</v>
      </c>
      <c r="E248" s="25">
        <f>E249+E250+E251+E252+E253</f>
        <v>83112000</v>
      </c>
      <c r="F248" s="25"/>
      <c r="G248" s="20"/>
      <c r="H248" s="21"/>
    </row>
    <row r="249" spans="1:8" ht="21" x14ac:dyDescent="0.4">
      <c r="A249" s="23"/>
      <c r="B249" s="24" t="s">
        <v>79</v>
      </c>
      <c r="C249" s="23" t="s">
        <v>80</v>
      </c>
      <c r="D249" s="25">
        <v>390000</v>
      </c>
      <c r="E249" s="25">
        <v>390000</v>
      </c>
      <c r="F249" s="25"/>
      <c r="G249" s="75"/>
      <c r="H249" s="21"/>
    </row>
    <row r="250" spans="1:8" ht="21" x14ac:dyDescent="0.4">
      <c r="A250" s="23"/>
      <c r="B250" s="24" t="s">
        <v>91</v>
      </c>
      <c r="C250" s="23" t="s">
        <v>92</v>
      </c>
      <c r="D250" s="25">
        <v>2400000</v>
      </c>
      <c r="E250" s="25">
        <v>1222000</v>
      </c>
      <c r="F250" s="25">
        <f>D250-E250</f>
        <v>1178000</v>
      </c>
      <c r="G250" s="75"/>
      <c r="H250" s="21"/>
    </row>
    <row r="251" spans="1:8" ht="21" x14ac:dyDescent="0.4">
      <c r="A251" s="23"/>
      <c r="B251" s="24" t="s">
        <v>152</v>
      </c>
      <c r="C251" s="23" t="s">
        <v>269</v>
      </c>
      <c r="D251" s="25">
        <v>18000000</v>
      </c>
      <c r="E251" s="25">
        <v>18000000</v>
      </c>
      <c r="F251" s="25"/>
      <c r="G251" s="75"/>
      <c r="H251" s="21"/>
    </row>
    <row r="252" spans="1:8" ht="21" x14ac:dyDescent="0.4">
      <c r="A252" s="23"/>
      <c r="B252" s="24"/>
      <c r="C252" s="23" t="s">
        <v>270</v>
      </c>
      <c r="D252" s="25">
        <v>27900000</v>
      </c>
      <c r="E252" s="25">
        <v>27900000</v>
      </c>
      <c r="F252" s="25"/>
      <c r="G252" s="75"/>
      <c r="H252" s="21"/>
    </row>
    <row r="253" spans="1:8" ht="21" x14ac:dyDescent="0.4">
      <c r="A253" s="23"/>
      <c r="B253" s="46" t="s">
        <v>95</v>
      </c>
      <c r="C253" s="47" t="s">
        <v>96</v>
      </c>
      <c r="D253" s="25">
        <f>D254</f>
        <v>35600000</v>
      </c>
      <c r="E253" s="25">
        <f>E254</f>
        <v>35600000</v>
      </c>
      <c r="F253" s="25"/>
      <c r="G253" s="20"/>
      <c r="H253" s="21"/>
    </row>
    <row r="254" spans="1:8" ht="21" x14ac:dyDescent="0.4">
      <c r="A254" s="23"/>
      <c r="B254" s="24" t="s">
        <v>104</v>
      </c>
      <c r="C254" s="23" t="s">
        <v>233</v>
      </c>
      <c r="D254" s="25">
        <v>35600000</v>
      </c>
      <c r="E254" s="25">
        <v>35600000</v>
      </c>
      <c r="F254" s="25"/>
      <c r="G254" s="75"/>
      <c r="H254" s="21"/>
    </row>
    <row r="255" spans="1:8" ht="21" x14ac:dyDescent="0.4">
      <c r="A255" s="23"/>
      <c r="B255" s="24"/>
      <c r="C255" s="23"/>
      <c r="D255" s="25"/>
      <c r="E255" s="25"/>
      <c r="F255" s="25"/>
      <c r="G255" s="75"/>
      <c r="H255" s="21"/>
    </row>
    <row r="256" spans="1:8" ht="21" x14ac:dyDescent="0.4">
      <c r="A256" s="18"/>
      <c r="B256" s="18"/>
      <c r="C256" s="114" t="s">
        <v>271</v>
      </c>
      <c r="D256" s="22">
        <f>D257</f>
        <v>18400000</v>
      </c>
      <c r="E256" s="22">
        <f>E257</f>
        <v>18400000</v>
      </c>
      <c r="F256" s="22"/>
      <c r="G256" s="20"/>
      <c r="H256" s="21"/>
    </row>
    <row r="257" spans="1:8" ht="21" x14ac:dyDescent="0.4">
      <c r="A257" s="23"/>
      <c r="B257" s="24" t="s">
        <v>75</v>
      </c>
      <c r="C257" s="23" t="s">
        <v>76</v>
      </c>
      <c r="D257" s="25">
        <f>D258+D262</f>
        <v>18400000</v>
      </c>
      <c r="E257" s="25">
        <f>E258+E262</f>
        <v>18400000</v>
      </c>
      <c r="F257" s="25"/>
      <c r="G257" s="20"/>
      <c r="H257" s="21"/>
    </row>
    <row r="258" spans="1:8" ht="21" x14ac:dyDescent="0.4">
      <c r="A258" s="23"/>
      <c r="B258" s="46" t="s">
        <v>77</v>
      </c>
      <c r="C258" s="47" t="s">
        <v>78</v>
      </c>
      <c r="D258" s="25">
        <f>SUM(D259:D261)</f>
        <v>17800000</v>
      </c>
      <c r="E258" s="25">
        <f>SUM(E259:E261)</f>
        <v>17800000</v>
      </c>
      <c r="F258" s="25"/>
      <c r="G258" s="20"/>
      <c r="H258" s="21"/>
    </row>
    <row r="259" spans="1:8" ht="21" x14ac:dyDescent="0.4">
      <c r="A259" s="23"/>
      <c r="B259" s="24" t="s">
        <v>91</v>
      </c>
      <c r="C259" s="23" t="s">
        <v>92</v>
      </c>
      <c r="D259" s="25">
        <v>0</v>
      </c>
      <c r="E259" s="25">
        <v>0</v>
      </c>
      <c r="F259" s="25"/>
      <c r="G259" s="20"/>
      <c r="H259" s="21"/>
    </row>
    <row r="260" spans="1:8" ht="21" x14ac:dyDescent="0.4">
      <c r="A260" s="23"/>
      <c r="B260" s="24" t="s">
        <v>152</v>
      </c>
      <c r="C260" s="23" t="s">
        <v>153</v>
      </c>
      <c r="D260" s="25">
        <v>17800000</v>
      </c>
      <c r="E260" s="25">
        <v>17800000</v>
      </c>
      <c r="F260" s="25"/>
      <c r="G260" s="75"/>
      <c r="H260" s="21"/>
    </row>
    <row r="261" spans="1:8" ht="21" x14ac:dyDescent="0.4">
      <c r="A261" s="23"/>
      <c r="B261" s="24" t="s">
        <v>93</v>
      </c>
      <c r="C261" s="23" t="s">
        <v>264</v>
      </c>
      <c r="D261" s="25">
        <v>0</v>
      </c>
      <c r="E261" s="25">
        <v>0</v>
      </c>
      <c r="F261" s="25"/>
      <c r="G261" s="75"/>
      <c r="H261" s="21"/>
    </row>
    <row r="262" spans="1:8" ht="21" x14ac:dyDescent="0.4">
      <c r="A262" s="23"/>
      <c r="B262" s="46" t="s">
        <v>95</v>
      </c>
      <c r="C262" s="47" t="s">
        <v>96</v>
      </c>
      <c r="D262" s="25">
        <f>D263</f>
        <v>600000</v>
      </c>
      <c r="E262" s="25">
        <f>E263</f>
        <v>600000</v>
      </c>
      <c r="F262" s="25"/>
      <c r="G262" s="20"/>
      <c r="H262" s="21"/>
    </row>
    <row r="263" spans="1:8" ht="21" x14ac:dyDescent="0.4">
      <c r="A263" s="23"/>
      <c r="B263" s="24" t="s">
        <v>104</v>
      </c>
      <c r="C263" s="87" t="s">
        <v>272</v>
      </c>
      <c r="D263" s="25">
        <v>600000</v>
      </c>
      <c r="E263" s="25">
        <v>600000</v>
      </c>
      <c r="F263" s="25"/>
      <c r="G263" s="20"/>
      <c r="H263" s="21"/>
    </row>
    <row r="264" spans="1:8" ht="21" x14ac:dyDescent="0.4">
      <c r="A264" s="28"/>
      <c r="B264" s="28"/>
      <c r="C264" s="28"/>
      <c r="D264" s="171"/>
      <c r="E264" s="171"/>
      <c r="F264" s="171"/>
      <c r="G264" s="29"/>
      <c r="H264" s="30"/>
    </row>
    <row r="265" spans="1:8" ht="21" x14ac:dyDescent="0.4">
      <c r="A265" s="28"/>
      <c r="B265" s="28"/>
      <c r="C265" s="28"/>
      <c r="D265" s="171"/>
      <c r="E265" s="171"/>
      <c r="F265" s="171"/>
      <c r="G265" s="29"/>
      <c r="H265" s="30"/>
    </row>
    <row r="266" spans="1:8" ht="21" x14ac:dyDescent="0.4">
      <c r="A266" s="177" t="s">
        <v>273</v>
      </c>
      <c r="B266" s="178"/>
      <c r="C266" s="178" t="s">
        <v>274</v>
      </c>
      <c r="D266" s="179">
        <f>D267</f>
        <v>5000000</v>
      </c>
      <c r="E266" s="179">
        <f>E267</f>
        <v>5000000</v>
      </c>
      <c r="F266" s="179"/>
      <c r="G266" s="29" t="s">
        <v>32</v>
      </c>
      <c r="H266" s="30"/>
    </row>
    <row r="267" spans="1:8" ht="21" x14ac:dyDescent="0.4">
      <c r="A267" s="28"/>
      <c r="B267" s="72" t="s">
        <v>75</v>
      </c>
      <c r="C267" s="28" t="s">
        <v>76</v>
      </c>
      <c r="D267" s="171">
        <f>D268+D274</f>
        <v>5000000</v>
      </c>
      <c r="E267" s="171">
        <f>E268+E274</f>
        <v>5000000</v>
      </c>
      <c r="F267" s="171"/>
      <c r="G267" s="29"/>
      <c r="H267" s="30"/>
    </row>
    <row r="268" spans="1:8" ht="21" x14ac:dyDescent="0.4">
      <c r="A268" s="28"/>
      <c r="B268" s="173" t="s">
        <v>77</v>
      </c>
      <c r="C268" s="174" t="s">
        <v>78</v>
      </c>
      <c r="D268" s="171">
        <f>SUM(D269:D273)</f>
        <v>4400000</v>
      </c>
      <c r="E268" s="171">
        <f>SUM(E269:E273)</f>
        <v>4400000</v>
      </c>
      <c r="F268" s="171"/>
      <c r="G268" s="29"/>
      <c r="H268" s="30"/>
    </row>
    <row r="269" spans="1:8" ht="21" x14ac:dyDescent="0.4">
      <c r="A269" s="28"/>
      <c r="B269" s="72" t="s">
        <v>79</v>
      </c>
      <c r="C269" s="28" t="s">
        <v>80</v>
      </c>
      <c r="D269" s="171">
        <v>0</v>
      </c>
      <c r="E269" s="171">
        <v>0</v>
      </c>
      <c r="F269" s="171"/>
      <c r="G269" s="29"/>
      <c r="H269" s="30"/>
    </row>
    <row r="270" spans="1:8" ht="21" x14ac:dyDescent="0.4">
      <c r="A270" s="28"/>
      <c r="B270" s="72" t="s">
        <v>91</v>
      </c>
      <c r="C270" s="28" t="s">
        <v>92</v>
      </c>
      <c r="D270" s="180">
        <v>600000</v>
      </c>
      <c r="E270" s="180">
        <v>600000</v>
      </c>
      <c r="F270" s="180"/>
      <c r="G270" s="29"/>
      <c r="H270" s="30"/>
    </row>
    <row r="271" spans="1:8" ht="21" x14ac:dyDescent="0.4">
      <c r="A271" s="28"/>
      <c r="B271" s="72" t="s">
        <v>152</v>
      </c>
      <c r="C271" s="28" t="s">
        <v>153</v>
      </c>
      <c r="D271" s="180">
        <v>3800000</v>
      </c>
      <c r="E271" s="180">
        <v>3800000</v>
      </c>
      <c r="F271" s="180"/>
      <c r="G271" s="29"/>
      <c r="H271" s="30"/>
    </row>
    <row r="272" spans="1:8" ht="21" x14ac:dyDescent="0.4">
      <c r="A272" s="28"/>
      <c r="B272" s="72" t="s">
        <v>93</v>
      </c>
      <c r="C272" s="28" t="s">
        <v>275</v>
      </c>
      <c r="D272" s="171">
        <v>0</v>
      </c>
      <c r="E272" s="171">
        <v>0</v>
      </c>
      <c r="F272" s="171"/>
      <c r="G272" s="29"/>
      <c r="H272" s="30"/>
    </row>
    <row r="273" spans="1:8" ht="21" x14ac:dyDescent="0.4">
      <c r="A273" s="28"/>
      <c r="B273" s="28" t="s">
        <v>167</v>
      </c>
      <c r="C273" s="174" t="s">
        <v>168</v>
      </c>
      <c r="D273" s="181">
        <v>0</v>
      </c>
      <c r="E273" s="181">
        <v>0</v>
      </c>
      <c r="F273" s="181"/>
      <c r="G273" s="29"/>
      <c r="H273" s="182"/>
    </row>
    <row r="274" spans="1:8" ht="21" x14ac:dyDescent="0.4">
      <c r="A274" s="28"/>
      <c r="B274" s="173" t="s">
        <v>95</v>
      </c>
      <c r="C274" s="174" t="s">
        <v>276</v>
      </c>
      <c r="D274" s="181">
        <v>600000</v>
      </c>
      <c r="E274" s="181">
        <v>600000</v>
      </c>
      <c r="F274" s="181"/>
      <c r="G274" s="29"/>
      <c r="H274" s="182"/>
    </row>
    <row r="275" spans="1:8" ht="21" x14ac:dyDescent="0.4">
      <c r="A275" s="28"/>
      <c r="B275" s="72" t="s">
        <v>104</v>
      </c>
      <c r="C275" s="28" t="s">
        <v>233</v>
      </c>
      <c r="D275" s="171">
        <v>0</v>
      </c>
      <c r="E275" s="171"/>
      <c r="F275" s="171"/>
      <c r="G275" s="29"/>
      <c r="H275" s="182"/>
    </row>
    <row r="276" spans="1:8" ht="21" x14ac:dyDescent="0.4">
      <c r="A276" s="28"/>
      <c r="B276" s="72"/>
      <c r="C276" s="28"/>
      <c r="D276" s="171"/>
      <c r="E276" s="171"/>
      <c r="F276" s="171"/>
      <c r="G276" s="29"/>
      <c r="H276" s="182"/>
    </row>
    <row r="277" spans="1:8" ht="21" x14ac:dyDescent="0.4">
      <c r="A277" s="178" t="s">
        <v>277</v>
      </c>
      <c r="B277" s="72">
        <v>5</v>
      </c>
      <c r="C277" s="178" t="s">
        <v>278</v>
      </c>
      <c r="D277" s="179">
        <v>10000000</v>
      </c>
      <c r="E277" s="179">
        <v>10000000</v>
      </c>
      <c r="F277" s="179"/>
      <c r="G277" s="29"/>
      <c r="H277" s="182"/>
    </row>
    <row r="278" spans="1:8" ht="21" x14ac:dyDescent="0.4">
      <c r="A278" s="28"/>
      <c r="B278" s="72" t="s">
        <v>75</v>
      </c>
      <c r="C278" s="28" t="s">
        <v>76</v>
      </c>
      <c r="D278" s="171">
        <v>10000000</v>
      </c>
      <c r="E278" s="171">
        <v>10000000</v>
      </c>
      <c r="F278" s="171"/>
      <c r="G278" s="29"/>
      <c r="H278" s="182"/>
    </row>
    <row r="279" spans="1:8" ht="21" x14ac:dyDescent="0.4">
      <c r="A279" s="28"/>
      <c r="B279" s="72"/>
      <c r="C279" s="28"/>
      <c r="D279" s="171"/>
      <c r="E279" s="171"/>
      <c r="F279" s="171"/>
      <c r="G279" s="29"/>
      <c r="H279" s="182"/>
    </row>
    <row r="280" spans="1:8" ht="21" x14ac:dyDescent="0.4">
      <c r="A280" s="28"/>
      <c r="B280" s="72"/>
      <c r="C280" s="28"/>
      <c r="D280" s="171"/>
      <c r="E280" s="171"/>
      <c r="F280" s="171"/>
      <c r="G280" s="29"/>
      <c r="H280" s="182"/>
    </row>
    <row r="281" spans="1:8" ht="21" x14ac:dyDescent="0.4">
      <c r="A281" s="183">
        <v>23</v>
      </c>
      <c r="B281" s="184"/>
      <c r="C281" s="132" t="str">
        <f>'[1]lamp 1b'!C321</f>
        <v>Sub Bidang Pekerjaan Umum dan Penataan Ruang</v>
      </c>
      <c r="D281" s="133">
        <f>D282+D289</f>
        <v>649733000</v>
      </c>
      <c r="E281" s="133">
        <f>E289</f>
        <v>13000000</v>
      </c>
      <c r="F281" s="133">
        <f>F285+F286+F287+F290</f>
        <v>636733000</v>
      </c>
      <c r="G281" s="112"/>
      <c r="H281" s="113"/>
    </row>
    <row r="282" spans="1:8" ht="21" x14ac:dyDescent="0.4">
      <c r="A282" s="19" t="s">
        <v>279</v>
      </c>
      <c r="B282" s="18"/>
      <c r="C282" s="120" t="s">
        <v>280</v>
      </c>
      <c r="D282" s="57">
        <f>D284</f>
        <v>518642725</v>
      </c>
      <c r="E282" s="57">
        <v>0</v>
      </c>
      <c r="F282" s="134">
        <f>D282-E282</f>
        <v>518642725</v>
      </c>
      <c r="G282" s="20" t="s">
        <v>32</v>
      </c>
      <c r="H282" s="21"/>
    </row>
    <row r="283" spans="1:8" ht="21" x14ac:dyDescent="0.4">
      <c r="A283" s="23"/>
      <c r="B283" s="24" t="s">
        <v>203</v>
      </c>
      <c r="C283" s="23" t="s">
        <v>204</v>
      </c>
      <c r="D283" s="25">
        <f>D284</f>
        <v>518642725</v>
      </c>
      <c r="E283" s="57">
        <v>0</v>
      </c>
      <c r="F283" s="134">
        <f t="shared" ref="F283:F287" si="18">D283-E283</f>
        <v>518642725</v>
      </c>
      <c r="G283" s="20"/>
      <c r="H283" s="21"/>
    </row>
    <row r="284" spans="1:8" ht="21" x14ac:dyDescent="0.4">
      <c r="A284" s="23"/>
      <c r="B284" s="24" t="s">
        <v>281</v>
      </c>
      <c r="C284" s="23" t="s">
        <v>282</v>
      </c>
      <c r="D284" s="25">
        <f>SUM(D285+D286+D287)</f>
        <v>518642725</v>
      </c>
      <c r="E284" s="57">
        <v>0</v>
      </c>
      <c r="F284" s="134">
        <f t="shared" si="18"/>
        <v>518642725</v>
      </c>
      <c r="G284" s="20"/>
      <c r="H284" s="21"/>
    </row>
    <row r="285" spans="1:8" ht="21" x14ac:dyDescent="0.4">
      <c r="A285" s="23"/>
      <c r="B285" s="23"/>
      <c r="C285" s="86" t="s">
        <v>283</v>
      </c>
      <c r="D285" s="51">
        <v>201675750</v>
      </c>
      <c r="E285" s="57">
        <v>0</v>
      </c>
      <c r="F285" s="134">
        <f t="shared" si="18"/>
        <v>201675750</v>
      </c>
      <c r="G285" s="20"/>
      <c r="H285" s="21"/>
    </row>
    <row r="286" spans="1:8" ht="21" x14ac:dyDescent="0.4">
      <c r="A286" s="23"/>
      <c r="B286" s="23"/>
      <c r="C286" s="87" t="s">
        <v>284</v>
      </c>
      <c r="D286" s="51">
        <v>178589550</v>
      </c>
      <c r="E286" s="57">
        <v>0</v>
      </c>
      <c r="F286" s="134">
        <f t="shared" si="18"/>
        <v>178589550</v>
      </c>
      <c r="G286" s="75">
        <v>6</v>
      </c>
      <c r="H286" s="21"/>
    </row>
    <row r="287" spans="1:8" ht="21" x14ac:dyDescent="0.4">
      <c r="A287" s="18"/>
      <c r="B287" s="18"/>
      <c r="C287" s="87" t="s">
        <v>285</v>
      </c>
      <c r="D287" s="51">
        <v>138377425</v>
      </c>
      <c r="E287" s="51">
        <v>0</v>
      </c>
      <c r="F287" s="134">
        <f t="shared" si="18"/>
        <v>138377425</v>
      </c>
      <c r="G287" s="20"/>
      <c r="H287" s="21"/>
    </row>
    <row r="288" spans="1:8" ht="21" x14ac:dyDescent="0.4">
      <c r="A288" s="18"/>
      <c r="B288" s="18"/>
      <c r="C288" s="123"/>
      <c r="D288" s="22"/>
      <c r="E288" s="22"/>
      <c r="F288" s="22"/>
      <c r="G288" s="20"/>
      <c r="H288" s="21"/>
    </row>
    <row r="289" spans="1:8" ht="21" x14ac:dyDescent="0.4">
      <c r="A289" s="185" t="s">
        <v>286</v>
      </c>
      <c r="B289" s="186"/>
      <c r="C289" s="186" t="s">
        <v>287</v>
      </c>
      <c r="D289" s="187">
        <f>D291</f>
        <v>131090275</v>
      </c>
      <c r="E289" s="187">
        <v>13000000</v>
      </c>
      <c r="F289" s="188">
        <f>D289-E289</f>
        <v>118090275</v>
      </c>
      <c r="G289" s="112" t="s">
        <v>32</v>
      </c>
      <c r="H289" s="113"/>
    </row>
    <row r="290" spans="1:8" ht="21" x14ac:dyDescent="0.4">
      <c r="A290" s="23"/>
      <c r="B290" s="24" t="s">
        <v>203</v>
      </c>
      <c r="C290" s="23" t="s">
        <v>239</v>
      </c>
      <c r="D290" s="25">
        <f t="shared" ref="D290" si="19">D291</f>
        <v>131090275</v>
      </c>
      <c r="E290" s="25">
        <v>13000000</v>
      </c>
      <c r="F290" s="25">
        <f t="shared" ref="F290:F291" si="20">D290-E290</f>
        <v>118090275</v>
      </c>
      <c r="G290" s="20"/>
      <c r="H290" s="21"/>
    </row>
    <row r="291" spans="1:8" ht="21" x14ac:dyDescent="0.4">
      <c r="A291" s="23"/>
      <c r="B291" s="24" t="s">
        <v>281</v>
      </c>
      <c r="C291" s="23" t="s">
        <v>288</v>
      </c>
      <c r="D291" s="25">
        <v>131090275</v>
      </c>
      <c r="E291" s="25">
        <v>13000000</v>
      </c>
      <c r="F291" s="25">
        <f t="shared" si="20"/>
        <v>118090275</v>
      </c>
      <c r="G291" s="20"/>
      <c r="H291" s="21"/>
    </row>
    <row r="292" spans="1:8" ht="21" x14ac:dyDescent="0.4">
      <c r="A292" s="23"/>
      <c r="B292" s="23"/>
      <c r="C292" s="23"/>
      <c r="D292" s="25"/>
      <c r="E292" s="25"/>
      <c r="F292" s="25"/>
      <c r="G292" s="20"/>
      <c r="H292" s="21"/>
    </row>
    <row r="293" spans="1:8" ht="21" x14ac:dyDescent="0.4">
      <c r="A293" s="23"/>
      <c r="B293" s="23"/>
      <c r="C293" s="47"/>
      <c r="D293" s="25"/>
      <c r="E293" s="25"/>
      <c r="F293" s="25"/>
      <c r="G293" s="20"/>
      <c r="H293" s="189"/>
    </row>
    <row r="294" spans="1:8" ht="21" x14ac:dyDescent="0.4">
      <c r="A294" s="23" t="s">
        <v>289</v>
      </c>
      <c r="B294" s="24" t="s">
        <v>203</v>
      </c>
      <c r="C294" s="62" t="s">
        <v>290</v>
      </c>
      <c r="D294" s="190">
        <v>20000000</v>
      </c>
      <c r="E294" s="190">
        <v>20000000</v>
      </c>
      <c r="F294" s="190"/>
      <c r="G294" s="20" t="s">
        <v>32</v>
      </c>
      <c r="H294" s="189"/>
    </row>
    <row r="295" spans="1:8" ht="21" x14ac:dyDescent="0.4">
      <c r="A295" s="23"/>
      <c r="B295" s="24" t="s">
        <v>281</v>
      </c>
      <c r="C295" s="46" t="s">
        <v>122</v>
      </c>
      <c r="D295" s="25"/>
      <c r="E295" s="25"/>
      <c r="F295" s="25"/>
      <c r="G295" s="20"/>
      <c r="H295" s="21"/>
    </row>
    <row r="296" spans="1:8" ht="21" x14ac:dyDescent="0.4">
      <c r="A296" s="23"/>
      <c r="B296" s="24" t="s">
        <v>291</v>
      </c>
      <c r="C296" s="46" t="s">
        <v>292</v>
      </c>
      <c r="D296" s="25"/>
      <c r="E296" s="25"/>
      <c r="F296" s="25"/>
      <c r="G296" s="20"/>
      <c r="H296" s="21"/>
    </row>
    <row r="297" spans="1:8" ht="21" x14ac:dyDescent="0.4">
      <c r="A297" s="23"/>
      <c r="B297" s="24" t="s">
        <v>121</v>
      </c>
      <c r="C297" s="46" t="s">
        <v>239</v>
      </c>
      <c r="D297" s="25">
        <v>20000000</v>
      </c>
      <c r="E297" s="25">
        <v>20000000</v>
      </c>
      <c r="F297" s="25"/>
      <c r="G297" s="20"/>
      <c r="H297" s="21"/>
    </row>
    <row r="298" spans="1:8" ht="21" x14ac:dyDescent="0.4">
      <c r="A298" s="23"/>
      <c r="B298" s="23"/>
      <c r="C298" s="23" t="s">
        <v>293</v>
      </c>
      <c r="D298" s="25">
        <v>20000000</v>
      </c>
      <c r="E298" s="25">
        <v>20000000</v>
      </c>
      <c r="F298" s="25"/>
      <c r="G298" s="20"/>
      <c r="H298" s="21"/>
    </row>
    <row r="299" spans="1:8" ht="21" x14ac:dyDescent="0.4">
      <c r="A299" s="23"/>
      <c r="B299" s="23"/>
      <c r="C299" s="62"/>
      <c r="D299" s="25"/>
      <c r="E299" s="25"/>
      <c r="F299" s="25"/>
      <c r="G299" s="20"/>
      <c r="H299" s="21"/>
    </row>
    <row r="300" spans="1:8" ht="21" x14ac:dyDescent="0.4">
      <c r="A300" s="23"/>
      <c r="B300" s="23"/>
      <c r="C300" s="62"/>
      <c r="D300" s="25"/>
      <c r="E300" s="25"/>
      <c r="F300" s="25"/>
      <c r="G300" s="20"/>
      <c r="H300" s="21"/>
    </row>
    <row r="301" spans="1:8" ht="21" x14ac:dyDescent="0.4">
      <c r="A301" s="23"/>
      <c r="B301" s="23"/>
      <c r="C301" s="23"/>
      <c r="D301" s="25"/>
      <c r="E301" s="25"/>
      <c r="F301" s="25"/>
      <c r="G301" s="20"/>
      <c r="H301" s="21"/>
    </row>
    <row r="302" spans="1:8" ht="21" x14ac:dyDescent="0.4">
      <c r="A302" s="191" t="s">
        <v>294</v>
      </c>
      <c r="B302" s="192"/>
      <c r="C302" s="192" t="s">
        <v>295</v>
      </c>
      <c r="D302" s="33">
        <f>D303+D317+D334+D345</f>
        <v>298950000</v>
      </c>
      <c r="E302" s="33">
        <f>E303+E317+E334+E345</f>
        <v>125515000</v>
      </c>
      <c r="F302" s="33">
        <f>F317+F345</f>
        <v>173435000</v>
      </c>
      <c r="G302" s="34"/>
      <c r="H302" s="21"/>
    </row>
    <row r="303" spans="1:8" ht="42" x14ac:dyDescent="0.4">
      <c r="A303" s="23" t="s">
        <v>296</v>
      </c>
      <c r="B303" s="23">
        <v>5.2</v>
      </c>
      <c r="C303" s="193" t="s">
        <v>297</v>
      </c>
      <c r="D303" s="57">
        <f>D304</f>
        <v>13945000</v>
      </c>
      <c r="E303" s="57">
        <f>E304</f>
        <v>13945000</v>
      </c>
      <c r="F303" s="190"/>
      <c r="G303" s="58" t="s">
        <v>298</v>
      </c>
      <c r="H303" s="21"/>
    </row>
    <row r="304" spans="1:8" ht="40.799999999999997" x14ac:dyDescent="0.4">
      <c r="A304" s="23"/>
      <c r="B304" s="23" t="s">
        <v>77</v>
      </c>
      <c r="C304" s="150" t="s">
        <v>299</v>
      </c>
      <c r="D304" s="134">
        <f>D305+D314</f>
        <v>13945000</v>
      </c>
      <c r="E304" s="134">
        <f>E305+E314</f>
        <v>13945000</v>
      </c>
      <c r="F304" s="51"/>
      <c r="G304" s="20"/>
      <c r="H304" s="21"/>
    </row>
    <row r="305" spans="1:8" ht="21" x14ac:dyDescent="0.4">
      <c r="A305" s="23"/>
      <c r="B305" s="23" t="s">
        <v>300</v>
      </c>
      <c r="C305" s="150" t="s">
        <v>76</v>
      </c>
      <c r="D305" s="190">
        <f>D306+D307+D308+D309</f>
        <v>4945000</v>
      </c>
      <c r="E305" s="57">
        <f>E306+E307+E308+E309</f>
        <v>4945000</v>
      </c>
      <c r="F305" s="190"/>
      <c r="G305" s="20"/>
      <c r="H305" s="21"/>
    </row>
    <row r="306" spans="1:8" ht="21" x14ac:dyDescent="0.4">
      <c r="A306" s="23"/>
      <c r="B306" s="23" t="s">
        <v>77</v>
      </c>
      <c r="C306" s="150" t="s">
        <v>301</v>
      </c>
      <c r="D306" s="51">
        <v>125000</v>
      </c>
      <c r="E306" s="134">
        <v>125000</v>
      </c>
      <c r="F306" s="51"/>
      <c r="G306" s="20"/>
      <c r="H306" s="21"/>
    </row>
    <row r="307" spans="1:8" ht="21" x14ac:dyDescent="0.4">
      <c r="A307" s="23"/>
      <c r="B307" s="23" t="s">
        <v>165</v>
      </c>
      <c r="C307" s="150" t="s">
        <v>302</v>
      </c>
      <c r="D307" s="51">
        <v>1520000</v>
      </c>
      <c r="E307" s="134">
        <v>1520000</v>
      </c>
      <c r="F307" s="51"/>
      <c r="G307" s="20"/>
      <c r="H307" s="21"/>
    </row>
    <row r="308" spans="1:8" ht="21" x14ac:dyDescent="0.4">
      <c r="A308" s="23"/>
      <c r="B308" s="23"/>
      <c r="C308" s="150" t="s">
        <v>303</v>
      </c>
      <c r="D308" s="51">
        <v>1200000</v>
      </c>
      <c r="E308" s="134">
        <v>1200000</v>
      </c>
      <c r="F308" s="51"/>
      <c r="G308" s="20"/>
      <c r="H308" s="21"/>
    </row>
    <row r="309" spans="1:8" ht="21" x14ac:dyDescent="0.4">
      <c r="A309" s="23"/>
      <c r="B309" s="46"/>
      <c r="C309" s="150" t="s">
        <v>304</v>
      </c>
      <c r="D309" s="25">
        <v>2100000</v>
      </c>
      <c r="E309" s="134">
        <v>2100000</v>
      </c>
      <c r="F309" s="25"/>
      <c r="G309" s="20"/>
      <c r="H309" s="21"/>
    </row>
    <row r="310" spans="1:8" ht="21" x14ac:dyDescent="0.4">
      <c r="A310" s="165"/>
      <c r="B310" s="166"/>
      <c r="C310" s="150"/>
      <c r="D310" s="167"/>
      <c r="E310" s="194"/>
      <c r="F310" s="167"/>
      <c r="G310" s="168"/>
      <c r="H310" s="169"/>
    </row>
    <row r="311" spans="1:8" ht="21" x14ac:dyDescent="0.4">
      <c r="A311" s="23"/>
      <c r="B311" s="77"/>
      <c r="C311" s="150" t="s">
        <v>305</v>
      </c>
      <c r="D311" s="25"/>
      <c r="E311" s="134"/>
      <c r="F311" s="25"/>
      <c r="G311" s="20"/>
      <c r="H311" s="21"/>
    </row>
    <row r="312" spans="1:8" ht="21" x14ac:dyDescent="0.4">
      <c r="A312" s="23"/>
      <c r="B312" s="77"/>
      <c r="C312" s="150" t="s">
        <v>306</v>
      </c>
      <c r="D312" s="25"/>
      <c r="E312" s="134"/>
      <c r="F312" s="25"/>
      <c r="G312" s="20"/>
      <c r="H312" s="21"/>
    </row>
    <row r="313" spans="1:8" ht="21" x14ac:dyDescent="0.4">
      <c r="A313" s="23"/>
      <c r="B313" s="24"/>
      <c r="C313" s="23"/>
      <c r="D313" s="51"/>
      <c r="E313" s="134"/>
      <c r="F313" s="51"/>
      <c r="G313" s="20"/>
      <c r="H313" s="21"/>
    </row>
    <row r="314" spans="1:8" ht="21" x14ac:dyDescent="0.4">
      <c r="A314" s="23" t="s">
        <v>307</v>
      </c>
      <c r="B314" s="126">
        <v>5.2</v>
      </c>
      <c r="C314" s="195" t="s">
        <v>308</v>
      </c>
      <c r="D314" s="190">
        <v>9000000</v>
      </c>
      <c r="E314" s="57">
        <v>9000000</v>
      </c>
      <c r="F314" s="190"/>
      <c r="G314" s="20"/>
      <c r="H314" s="21"/>
    </row>
    <row r="315" spans="1:8" ht="21" x14ac:dyDescent="0.4">
      <c r="A315" s="23"/>
      <c r="B315" s="196" t="s">
        <v>77</v>
      </c>
      <c r="C315" s="195" t="s">
        <v>309</v>
      </c>
      <c r="D315" s="197">
        <v>9000000</v>
      </c>
      <c r="E315" s="194">
        <v>9000000</v>
      </c>
      <c r="F315" s="197"/>
      <c r="G315" s="20"/>
      <c r="H315" s="21"/>
    </row>
    <row r="316" spans="1:8" ht="21" x14ac:dyDescent="0.4">
      <c r="A316" s="18"/>
      <c r="B316" s="18"/>
      <c r="C316" s="18"/>
      <c r="D316" s="22"/>
      <c r="E316" s="22"/>
      <c r="F316" s="22"/>
      <c r="G316" s="20"/>
      <c r="H316" s="21"/>
    </row>
    <row r="317" spans="1:8" ht="21" x14ac:dyDescent="0.3">
      <c r="A317" s="108" t="s">
        <v>310</v>
      </c>
      <c r="B317" s="109"/>
      <c r="C317" s="109" t="s">
        <v>311</v>
      </c>
      <c r="D317" s="111">
        <f>D318</f>
        <v>226000000</v>
      </c>
      <c r="E317" s="111">
        <f>E322+E326+E328+E330+E321</f>
        <v>67445000</v>
      </c>
      <c r="F317" s="111">
        <f>D317-E317</f>
        <v>158555000</v>
      </c>
      <c r="G317" s="175"/>
      <c r="H317" s="198"/>
    </row>
    <row r="318" spans="1:8" ht="61.2" x14ac:dyDescent="0.4">
      <c r="A318" s="199" t="s">
        <v>312</v>
      </c>
      <c r="B318" s="62"/>
      <c r="C318" s="200" t="s">
        <v>313</v>
      </c>
      <c r="D318" s="201">
        <f>D319</f>
        <v>226000000</v>
      </c>
      <c r="E318" s="201"/>
      <c r="F318" s="201"/>
      <c r="G318" s="58" t="s">
        <v>163</v>
      </c>
      <c r="H318" s="60"/>
    </row>
    <row r="319" spans="1:8" ht="21" x14ac:dyDescent="0.4">
      <c r="A319" s="23"/>
      <c r="B319" s="136" t="s">
        <v>75</v>
      </c>
      <c r="C319" s="200" t="s">
        <v>314</v>
      </c>
      <c r="D319" s="134">
        <f>D320+D326+D328+D330</f>
        <v>226000000</v>
      </c>
      <c r="E319" s="134"/>
      <c r="F319" s="134">
        <f>F320+F326+F328+F330</f>
        <v>158555000</v>
      </c>
      <c r="G319" s="20"/>
      <c r="H319" s="21"/>
    </row>
    <row r="320" spans="1:8" ht="21" x14ac:dyDescent="0.4">
      <c r="A320" s="47"/>
      <c r="B320" s="202" t="s">
        <v>77</v>
      </c>
      <c r="C320" s="150" t="s">
        <v>76</v>
      </c>
      <c r="D320" s="201">
        <f>D322+D321</f>
        <v>151000000</v>
      </c>
      <c r="E320" s="201"/>
      <c r="F320" s="201">
        <f>F321+F322</f>
        <v>88000000</v>
      </c>
      <c r="G320" s="20"/>
      <c r="H320" s="53"/>
    </row>
    <row r="321" spans="1:8" ht="21" x14ac:dyDescent="0.4">
      <c r="A321" s="23"/>
      <c r="B321" s="136" t="s">
        <v>91</v>
      </c>
      <c r="C321" s="150" t="s">
        <v>301</v>
      </c>
      <c r="D321" s="134">
        <v>1000000</v>
      </c>
      <c r="E321" s="134">
        <v>1000000</v>
      </c>
      <c r="F321" s="134">
        <f>D321-E321</f>
        <v>0</v>
      </c>
      <c r="G321" s="20"/>
      <c r="H321" s="21"/>
    </row>
    <row r="322" spans="1:8" ht="21" x14ac:dyDescent="0.4">
      <c r="A322" s="23"/>
      <c r="B322" s="136" t="s">
        <v>152</v>
      </c>
      <c r="C322" s="150" t="s">
        <v>314</v>
      </c>
      <c r="D322" s="134">
        <v>150000000</v>
      </c>
      <c r="E322" s="134">
        <v>62000000</v>
      </c>
      <c r="F322" s="134">
        <f>D322-E322</f>
        <v>88000000</v>
      </c>
      <c r="G322" s="20"/>
      <c r="H322" s="53"/>
    </row>
    <row r="323" spans="1:8" ht="21" x14ac:dyDescent="0.4">
      <c r="A323" s="76"/>
      <c r="B323" s="203" t="s">
        <v>315</v>
      </c>
      <c r="C323" s="150" t="s">
        <v>316</v>
      </c>
      <c r="D323" s="204">
        <v>111</v>
      </c>
      <c r="E323" s="204"/>
      <c r="F323" s="204"/>
      <c r="G323" s="79"/>
      <c r="H323" s="80"/>
    </row>
    <row r="324" spans="1:8" ht="21" x14ac:dyDescent="0.4">
      <c r="A324" s="76"/>
      <c r="B324" s="203" t="s">
        <v>93</v>
      </c>
      <c r="C324" s="150" t="s">
        <v>317</v>
      </c>
      <c r="D324" s="204">
        <v>0</v>
      </c>
      <c r="E324" s="204"/>
      <c r="F324" s="204"/>
      <c r="G324" s="79"/>
      <c r="H324" s="205"/>
    </row>
    <row r="325" spans="1:8" ht="21" x14ac:dyDescent="0.4">
      <c r="A325" s="47"/>
      <c r="B325" s="206" t="s">
        <v>318</v>
      </c>
      <c r="C325" s="150" t="s">
        <v>319</v>
      </c>
      <c r="D325" s="207">
        <v>0</v>
      </c>
      <c r="E325" s="207"/>
      <c r="F325" s="207"/>
      <c r="G325" s="20"/>
      <c r="H325" s="21"/>
    </row>
    <row r="326" spans="1:8" ht="21" x14ac:dyDescent="0.4">
      <c r="A326" s="47"/>
      <c r="B326" s="202" t="s">
        <v>95</v>
      </c>
      <c r="C326" s="150" t="s">
        <v>320</v>
      </c>
      <c r="D326" s="201">
        <v>15000000</v>
      </c>
      <c r="E326" s="201">
        <v>0</v>
      </c>
      <c r="F326" s="201">
        <f>D326-E326</f>
        <v>15000000</v>
      </c>
      <c r="G326" s="20"/>
      <c r="H326" s="21"/>
    </row>
    <row r="327" spans="1:8" ht="21" x14ac:dyDescent="0.4">
      <c r="A327" s="23"/>
      <c r="B327" s="136" t="s">
        <v>104</v>
      </c>
      <c r="C327" s="193" t="s">
        <v>321</v>
      </c>
      <c r="D327" s="134"/>
      <c r="E327" s="134"/>
      <c r="F327" s="134"/>
      <c r="G327" s="20"/>
      <c r="H327" s="21"/>
    </row>
    <row r="328" spans="1:8" ht="21" x14ac:dyDescent="0.4">
      <c r="A328" s="47"/>
      <c r="B328" s="202" t="s">
        <v>174</v>
      </c>
      <c r="C328" s="150" t="s">
        <v>76</v>
      </c>
      <c r="D328" s="201">
        <v>40000000</v>
      </c>
      <c r="E328" s="201">
        <v>2445000</v>
      </c>
      <c r="F328" s="201">
        <f>D328-E328</f>
        <v>37555000</v>
      </c>
      <c r="G328" s="20"/>
      <c r="H328" s="21"/>
    </row>
    <row r="329" spans="1:8" ht="21" x14ac:dyDescent="0.4">
      <c r="A329" s="23"/>
      <c r="B329" s="136" t="s">
        <v>176</v>
      </c>
      <c r="C329" s="150" t="s">
        <v>322</v>
      </c>
      <c r="D329" s="134">
        <v>40000000</v>
      </c>
      <c r="E329" s="134">
        <v>2445000</v>
      </c>
      <c r="F329" s="201">
        <f>D329-E329</f>
        <v>37555000</v>
      </c>
      <c r="G329" s="20"/>
      <c r="H329" s="53"/>
    </row>
    <row r="330" spans="1:8" ht="21" x14ac:dyDescent="0.4">
      <c r="A330" s="124"/>
      <c r="B330" s="208" t="s">
        <v>323</v>
      </c>
      <c r="C330" s="193" t="s">
        <v>324</v>
      </c>
      <c r="D330" s="201">
        <f>D331</f>
        <v>20000000</v>
      </c>
      <c r="E330" s="201">
        <v>2000000</v>
      </c>
      <c r="F330" s="201">
        <f>D330-E330</f>
        <v>18000000</v>
      </c>
      <c r="G330" s="20"/>
      <c r="H330" s="21"/>
    </row>
    <row r="331" spans="1:8" ht="21" x14ac:dyDescent="0.4">
      <c r="A331" s="118"/>
      <c r="B331" s="126" t="s">
        <v>325</v>
      </c>
      <c r="C331" s="150" t="s">
        <v>76</v>
      </c>
      <c r="D331" s="51">
        <v>20000000</v>
      </c>
      <c r="E331" s="51">
        <v>0</v>
      </c>
      <c r="F331" s="51">
        <v>18000000</v>
      </c>
      <c r="G331" s="20"/>
      <c r="H331" s="21"/>
    </row>
    <row r="332" spans="1:8" ht="21" x14ac:dyDescent="0.4">
      <c r="A332" s="118"/>
      <c r="B332" s="116"/>
      <c r="C332" s="150" t="s">
        <v>322</v>
      </c>
      <c r="D332" s="25"/>
      <c r="E332" s="25"/>
      <c r="F332" s="25"/>
      <c r="G332" s="20"/>
      <c r="H332" s="21"/>
    </row>
    <row r="333" spans="1:8" ht="21" x14ac:dyDescent="0.4">
      <c r="A333" s="118"/>
      <c r="B333" s="116"/>
      <c r="C333" s="23"/>
      <c r="D333" s="25"/>
      <c r="E333" s="25"/>
      <c r="F333" s="25"/>
      <c r="G333" s="20"/>
      <c r="H333" s="21"/>
    </row>
    <row r="334" spans="1:8" ht="21" x14ac:dyDescent="0.3">
      <c r="A334" s="209" t="s">
        <v>326</v>
      </c>
      <c r="B334" s="11"/>
      <c r="C334" s="210" t="s">
        <v>327</v>
      </c>
      <c r="D334" s="211">
        <f>D336</f>
        <v>10285000</v>
      </c>
      <c r="E334" s="211">
        <f>E337</f>
        <v>10285000</v>
      </c>
      <c r="F334" s="212"/>
      <c r="G334" s="11" t="s">
        <v>163</v>
      </c>
      <c r="H334" s="12"/>
    </row>
    <row r="335" spans="1:8" ht="21" x14ac:dyDescent="0.3">
      <c r="A335" s="213"/>
      <c r="B335" s="13"/>
      <c r="C335" s="214"/>
      <c r="D335" s="215"/>
      <c r="E335" s="215"/>
      <c r="F335" s="216"/>
      <c r="G335" s="13"/>
      <c r="H335" s="14"/>
    </row>
    <row r="336" spans="1:8" ht="21" x14ac:dyDescent="0.4">
      <c r="A336" s="23"/>
      <c r="B336" s="136" t="s">
        <v>75</v>
      </c>
      <c r="C336" s="200" t="s">
        <v>328</v>
      </c>
      <c r="D336" s="25">
        <f>D337</f>
        <v>10285000</v>
      </c>
      <c r="E336" s="25">
        <f>E337</f>
        <v>10285000</v>
      </c>
      <c r="F336" s="25"/>
      <c r="G336" s="20"/>
      <c r="H336" s="21"/>
    </row>
    <row r="337" spans="1:8" ht="21" x14ac:dyDescent="0.4">
      <c r="A337" s="23"/>
      <c r="B337" s="86" t="s">
        <v>77</v>
      </c>
      <c r="C337" s="150" t="s">
        <v>76</v>
      </c>
      <c r="D337" s="25">
        <f t="shared" ref="D337:E337" si="21">D338</f>
        <v>10285000</v>
      </c>
      <c r="E337" s="25">
        <f t="shared" si="21"/>
        <v>10285000</v>
      </c>
      <c r="F337" s="25"/>
      <c r="G337" s="20"/>
      <c r="H337" s="21"/>
    </row>
    <row r="338" spans="1:8" ht="21" x14ac:dyDescent="0.4">
      <c r="A338" s="23"/>
      <c r="B338" s="217"/>
      <c r="C338" s="150" t="s">
        <v>78</v>
      </c>
      <c r="D338" s="218">
        <f>D339+D340+D343+D344</f>
        <v>10285000</v>
      </c>
      <c r="E338" s="218">
        <f>E339+E340+E343+E344</f>
        <v>10285000</v>
      </c>
      <c r="F338" s="218"/>
      <c r="G338" s="20"/>
      <c r="H338" s="21"/>
    </row>
    <row r="339" spans="1:8" ht="21" x14ac:dyDescent="0.4">
      <c r="A339" s="23"/>
      <c r="B339" s="24"/>
      <c r="C339" s="150" t="s">
        <v>329</v>
      </c>
      <c r="D339" s="25">
        <v>3450000</v>
      </c>
      <c r="E339" s="25">
        <v>3450000</v>
      </c>
      <c r="F339" s="25"/>
      <c r="G339" s="20"/>
      <c r="H339" s="21"/>
    </row>
    <row r="340" spans="1:8" ht="21" x14ac:dyDescent="0.4">
      <c r="A340" s="23"/>
      <c r="B340" s="46"/>
      <c r="C340" s="150" t="s">
        <v>330</v>
      </c>
      <c r="D340" s="25">
        <v>1835000</v>
      </c>
      <c r="E340" s="25">
        <v>1835000</v>
      </c>
      <c r="F340" s="25"/>
      <c r="G340" s="20"/>
      <c r="H340" s="21"/>
    </row>
    <row r="341" spans="1:8" ht="21" x14ac:dyDescent="0.4">
      <c r="A341" s="23"/>
      <c r="B341" s="24"/>
      <c r="C341" s="150" t="s">
        <v>331</v>
      </c>
      <c r="D341" s="25">
        <v>0</v>
      </c>
      <c r="E341" s="25">
        <v>0</v>
      </c>
      <c r="F341" s="25"/>
      <c r="G341" s="20"/>
      <c r="H341" s="21"/>
    </row>
    <row r="342" spans="1:8" ht="21" x14ac:dyDescent="0.4">
      <c r="A342" s="23"/>
      <c r="B342" s="219"/>
      <c r="C342" s="150" t="s">
        <v>332</v>
      </c>
      <c r="D342" s="25">
        <v>0</v>
      </c>
      <c r="E342" s="25">
        <v>0</v>
      </c>
      <c r="F342" s="25"/>
      <c r="G342" s="20"/>
      <c r="H342" s="21"/>
    </row>
    <row r="343" spans="1:8" ht="21" x14ac:dyDescent="0.4">
      <c r="A343" s="23"/>
      <c r="B343" s="24"/>
      <c r="C343" s="150" t="s">
        <v>333</v>
      </c>
      <c r="D343" s="25">
        <v>2500000</v>
      </c>
      <c r="E343" s="25">
        <v>2500000</v>
      </c>
      <c r="F343" s="25"/>
      <c r="G343" s="20"/>
      <c r="H343" s="21"/>
    </row>
    <row r="344" spans="1:8" ht="21" x14ac:dyDescent="0.4">
      <c r="A344" s="23"/>
      <c r="B344" s="23"/>
      <c r="C344" s="23" t="s">
        <v>331</v>
      </c>
      <c r="D344" s="25">
        <v>2500000</v>
      </c>
      <c r="E344" s="25">
        <v>2500000</v>
      </c>
      <c r="F344" s="25"/>
      <c r="G344" s="20"/>
      <c r="H344" s="21"/>
    </row>
    <row r="345" spans="1:8" ht="21" x14ac:dyDescent="0.3">
      <c r="A345" s="119" t="s">
        <v>334</v>
      </c>
      <c r="B345" s="120"/>
      <c r="C345" s="120" t="s">
        <v>335</v>
      </c>
      <c r="D345" s="57">
        <f>D346+D353</f>
        <v>48720000</v>
      </c>
      <c r="E345" s="57">
        <f>E346+E353</f>
        <v>33840000</v>
      </c>
      <c r="F345" s="57">
        <f>D345-E345</f>
        <v>14880000</v>
      </c>
      <c r="G345" s="58"/>
      <c r="H345" s="122"/>
    </row>
    <row r="346" spans="1:8" ht="21" x14ac:dyDescent="0.4">
      <c r="A346" s="85" t="s">
        <v>336</v>
      </c>
      <c r="B346" s="62"/>
      <c r="C346" s="62" t="s">
        <v>337</v>
      </c>
      <c r="D346" s="163">
        <f>D347</f>
        <v>14520000</v>
      </c>
      <c r="E346" s="163">
        <f>E347</f>
        <v>14520000</v>
      </c>
      <c r="F346" s="163"/>
      <c r="G346" s="20" t="s">
        <v>163</v>
      </c>
      <c r="H346" s="21"/>
    </row>
    <row r="347" spans="1:8" ht="21" x14ac:dyDescent="0.4">
      <c r="A347" s="23"/>
      <c r="B347" s="24" t="s">
        <v>75</v>
      </c>
      <c r="C347" s="23" t="s">
        <v>76</v>
      </c>
      <c r="D347" s="25">
        <f>D348+D350</f>
        <v>14520000</v>
      </c>
      <c r="E347" s="25">
        <f>E348+E350</f>
        <v>14520000</v>
      </c>
      <c r="F347" s="25"/>
      <c r="G347" s="20"/>
      <c r="H347" s="21"/>
    </row>
    <row r="348" spans="1:8" ht="21" x14ac:dyDescent="0.4">
      <c r="A348" s="23"/>
      <c r="B348" s="46" t="s">
        <v>77</v>
      </c>
      <c r="C348" s="47" t="s">
        <v>78</v>
      </c>
      <c r="D348" s="48">
        <v>2160000</v>
      </c>
      <c r="E348" s="48">
        <v>2160000</v>
      </c>
      <c r="F348" s="48"/>
      <c r="G348" s="20"/>
      <c r="H348" s="21"/>
    </row>
    <row r="349" spans="1:8" ht="21" x14ac:dyDescent="0.4">
      <c r="A349" s="23"/>
      <c r="B349" s="24" t="s">
        <v>79</v>
      </c>
      <c r="C349" s="23" t="s">
        <v>166</v>
      </c>
      <c r="D349" s="25">
        <v>2160000</v>
      </c>
      <c r="E349" s="25">
        <v>2160000</v>
      </c>
      <c r="F349" s="25"/>
      <c r="G349" s="20"/>
      <c r="H349" s="21"/>
    </row>
    <row r="350" spans="1:8" ht="21" x14ac:dyDescent="0.4">
      <c r="A350" s="23"/>
      <c r="B350" s="46" t="s">
        <v>95</v>
      </c>
      <c r="C350" s="47" t="s">
        <v>96</v>
      </c>
      <c r="D350" s="48">
        <f>D351+D352</f>
        <v>12360000</v>
      </c>
      <c r="E350" s="48">
        <f>E351+E352</f>
        <v>12360000</v>
      </c>
      <c r="F350" s="48"/>
      <c r="G350" s="20"/>
      <c r="H350" s="21"/>
    </row>
    <row r="351" spans="1:8" ht="21" x14ac:dyDescent="0.4">
      <c r="A351" s="23"/>
      <c r="B351" s="69" t="s">
        <v>338</v>
      </c>
      <c r="C351" s="68" t="s">
        <v>339</v>
      </c>
      <c r="D351" s="134">
        <v>12360000</v>
      </c>
      <c r="E351" s="134">
        <v>12360000</v>
      </c>
      <c r="F351" s="134"/>
      <c r="G351" s="20" t="s">
        <v>163</v>
      </c>
      <c r="H351" s="21"/>
    </row>
    <row r="352" spans="1:8" ht="21" x14ac:dyDescent="0.4">
      <c r="A352" s="23"/>
      <c r="B352" s="69"/>
      <c r="C352" s="68"/>
      <c r="D352" s="134"/>
      <c r="E352" s="134"/>
      <c r="F352" s="134"/>
      <c r="G352" s="20"/>
      <c r="H352" s="21"/>
    </row>
    <row r="353" spans="1:8" ht="21" x14ac:dyDescent="0.4">
      <c r="A353" s="85" t="s">
        <v>340</v>
      </c>
      <c r="B353" s="62"/>
      <c r="C353" s="62" t="s">
        <v>341</v>
      </c>
      <c r="D353" s="163">
        <f>D354</f>
        <v>34200000</v>
      </c>
      <c r="E353" s="163">
        <f>E354</f>
        <v>19320000</v>
      </c>
      <c r="F353" s="163">
        <f>D353-E353</f>
        <v>14880000</v>
      </c>
      <c r="G353" s="20" t="s">
        <v>163</v>
      </c>
      <c r="H353" s="21"/>
    </row>
    <row r="354" spans="1:8" ht="21" x14ac:dyDescent="0.4">
      <c r="A354" s="23"/>
      <c r="B354" s="24" t="s">
        <v>75</v>
      </c>
      <c r="C354" s="23" t="s">
        <v>76</v>
      </c>
      <c r="D354" s="25">
        <f>D355+D360+D362</f>
        <v>34200000</v>
      </c>
      <c r="E354" s="22">
        <f>E355+E361</f>
        <v>19320000</v>
      </c>
      <c r="F354" s="25">
        <f>D354-E354</f>
        <v>14880000</v>
      </c>
      <c r="G354" s="20"/>
      <c r="H354" s="21"/>
    </row>
    <row r="355" spans="1:8" ht="21" x14ac:dyDescent="0.4">
      <c r="A355" s="23"/>
      <c r="B355" s="46" t="s">
        <v>77</v>
      </c>
      <c r="C355" s="47" t="s">
        <v>78</v>
      </c>
      <c r="D355" s="48">
        <f>SUM(D356:D359)</f>
        <v>14420000</v>
      </c>
      <c r="E355" s="48">
        <f>E356+E357+E358</f>
        <v>4920000</v>
      </c>
      <c r="F355" s="163">
        <f>D355-E355</f>
        <v>9500000</v>
      </c>
      <c r="G355" s="20"/>
      <c r="H355" s="21"/>
    </row>
    <row r="356" spans="1:8" ht="21" x14ac:dyDescent="0.4">
      <c r="A356" s="23"/>
      <c r="B356" s="24" t="s">
        <v>79</v>
      </c>
      <c r="C356" s="23" t="s">
        <v>80</v>
      </c>
      <c r="D356" s="25">
        <v>720000</v>
      </c>
      <c r="E356" s="25">
        <v>350000</v>
      </c>
      <c r="F356" s="48">
        <f t="shared" ref="F356:F363" si="22">D356-E356</f>
        <v>370000</v>
      </c>
      <c r="G356" s="20"/>
      <c r="H356" s="21"/>
    </row>
    <row r="357" spans="1:8" ht="21" x14ac:dyDescent="0.4">
      <c r="A357" s="23"/>
      <c r="B357" s="24" t="s">
        <v>91</v>
      </c>
      <c r="C357" s="23" t="s">
        <v>92</v>
      </c>
      <c r="D357" s="25">
        <v>1200000</v>
      </c>
      <c r="E357" s="25">
        <v>250000</v>
      </c>
      <c r="F357" s="48">
        <f t="shared" si="22"/>
        <v>950000</v>
      </c>
      <c r="G357" s="20"/>
      <c r="H357" s="21"/>
    </row>
    <row r="358" spans="1:8" ht="21" x14ac:dyDescent="0.4">
      <c r="A358" s="23"/>
      <c r="B358" s="24" t="s">
        <v>152</v>
      </c>
      <c r="C358" s="23" t="s">
        <v>153</v>
      </c>
      <c r="D358" s="25">
        <v>7500000</v>
      </c>
      <c r="E358" s="25">
        <v>4320000</v>
      </c>
      <c r="F358" s="48">
        <f t="shared" si="22"/>
        <v>3180000</v>
      </c>
      <c r="G358" s="20"/>
      <c r="H358" s="140"/>
    </row>
    <row r="359" spans="1:8" ht="21" x14ac:dyDescent="0.4">
      <c r="A359" s="23"/>
      <c r="B359" s="24" t="s">
        <v>93</v>
      </c>
      <c r="C359" s="23" t="s">
        <v>342</v>
      </c>
      <c r="D359" s="25">
        <v>5000000</v>
      </c>
      <c r="E359" s="25">
        <v>0</v>
      </c>
      <c r="F359" s="48">
        <f t="shared" si="22"/>
        <v>5000000</v>
      </c>
      <c r="G359" s="20"/>
      <c r="H359" s="140"/>
    </row>
    <row r="360" spans="1:8" ht="21" x14ac:dyDescent="0.4">
      <c r="A360" s="23"/>
      <c r="B360" s="46" t="s">
        <v>95</v>
      </c>
      <c r="C360" s="47" t="s">
        <v>96</v>
      </c>
      <c r="D360" s="48">
        <f>D361</f>
        <v>18960000</v>
      </c>
      <c r="E360" s="48">
        <f>E361</f>
        <v>14400000</v>
      </c>
      <c r="F360" s="163">
        <f t="shared" si="22"/>
        <v>4560000</v>
      </c>
      <c r="G360" s="20"/>
      <c r="H360" s="140"/>
    </row>
    <row r="361" spans="1:8" ht="21" x14ac:dyDescent="0.4">
      <c r="A361" s="23"/>
      <c r="B361" s="24" t="s">
        <v>109</v>
      </c>
      <c r="C361" s="23" t="s">
        <v>343</v>
      </c>
      <c r="D361" s="25">
        <v>18960000</v>
      </c>
      <c r="E361" s="25">
        <v>14400000</v>
      </c>
      <c r="F361" s="48">
        <f t="shared" si="22"/>
        <v>4560000</v>
      </c>
      <c r="G361" s="20"/>
      <c r="H361" s="140"/>
    </row>
    <row r="362" spans="1:8" ht="21" x14ac:dyDescent="0.4">
      <c r="A362" s="23"/>
      <c r="B362" s="23" t="s">
        <v>114</v>
      </c>
      <c r="C362" s="23" t="s">
        <v>344</v>
      </c>
      <c r="D362" s="25">
        <f>D363</f>
        <v>820000</v>
      </c>
      <c r="E362" s="25">
        <v>0</v>
      </c>
      <c r="F362" s="48">
        <f>D362-E362</f>
        <v>820000</v>
      </c>
      <c r="G362" s="20"/>
      <c r="H362" s="21"/>
    </row>
    <row r="363" spans="1:8" ht="21" x14ac:dyDescent="0.4">
      <c r="A363" s="23"/>
      <c r="B363" s="23" t="s">
        <v>345</v>
      </c>
      <c r="C363" s="23" t="s">
        <v>346</v>
      </c>
      <c r="D363" s="25">
        <v>820000</v>
      </c>
      <c r="E363" s="25">
        <v>0</v>
      </c>
      <c r="F363" s="48">
        <f t="shared" si="22"/>
        <v>820000</v>
      </c>
      <c r="G363" s="20"/>
      <c r="H363" s="21"/>
    </row>
    <row r="364" spans="1:8" ht="21" x14ac:dyDescent="0.4">
      <c r="A364" s="23"/>
      <c r="B364" s="23"/>
      <c r="C364" s="23"/>
      <c r="D364" s="25"/>
      <c r="E364" s="25"/>
      <c r="F364" s="25"/>
      <c r="G364" s="20"/>
      <c r="H364" s="21"/>
    </row>
    <row r="365" spans="1:8" ht="21" x14ac:dyDescent="0.3">
      <c r="A365" s="220" t="s">
        <v>14</v>
      </c>
      <c r="B365" s="221"/>
      <c r="C365" s="221" t="s">
        <v>347</v>
      </c>
      <c r="D365" s="222">
        <f>D366+D375+D389+D406</f>
        <v>70709237.260000005</v>
      </c>
      <c r="E365" s="222">
        <f>E366+E375+E389+E406</f>
        <v>60709237.260000005</v>
      </c>
      <c r="F365" s="222">
        <f>D365-E365</f>
        <v>10000000</v>
      </c>
      <c r="G365" s="223"/>
      <c r="H365" s="122"/>
    </row>
    <row r="366" spans="1:8" ht="21" x14ac:dyDescent="0.3">
      <c r="A366" s="224">
        <v>4.0999999999999996</v>
      </c>
      <c r="B366" s="221"/>
      <c r="C366" s="225" t="s">
        <v>348</v>
      </c>
      <c r="D366" s="222">
        <f>D367+D371</f>
        <v>20000000</v>
      </c>
      <c r="E366" s="222">
        <f>E367+E371</f>
        <v>20000000</v>
      </c>
      <c r="F366" s="222"/>
      <c r="G366" s="223" t="s">
        <v>35</v>
      </c>
      <c r="H366" s="226"/>
    </row>
    <row r="367" spans="1:8" ht="21" x14ac:dyDescent="0.3">
      <c r="A367" s="220"/>
      <c r="B367" s="227">
        <v>5.2</v>
      </c>
      <c r="C367" s="225" t="s">
        <v>349</v>
      </c>
      <c r="D367" s="222">
        <v>5000000</v>
      </c>
      <c r="E367" s="222">
        <v>5000000</v>
      </c>
      <c r="F367" s="222"/>
      <c r="G367" s="223"/>
      <c r="H367" s="122"/>
    </row>
    <row r="368" spans="1:8" ht="21" x14ac:dyDescent="0.3">
      <c r="A368" s="220"/>
      <c r="B368" s="225" t="s">
        <v>77</v>
      </c>
      <c r="C368" s="225" t="s">
        <v>350</v>
      </c>
      <c r="D368" s="228">
        <v>5000000</v>
      </c>
      <c r="E368" s="228">
        <v>5000000</v>
      </c>
      <c r="F368" s="228"/>
      <c r="G368" s="223"/>
      <c r="H368" s="122"/>
    </row>
    <row r="369" spans="1:8" ht="21" x14ac:dyDescent="0.3">
      <c r="A369" s="220"/>
      <c r="B369" s="225" t="s">
        <v>95</v>
      </c>
      <c r="C369" s="225" t="s">
        <v>351</v>
      </c>
      <c r="D369" s="228">
        <v>5000000</v>
      </c>
      <c r="E369" s="228">
        <v>5000000</v>
      </c>
      <c r="F369" s="228"/>
      <c r="G369" s="223"/>
      <c r="H369" s="122"/>
    </row>
    <row r="370" spans="1:8" ht="21" x14ac:dyDescent="0.3">
      <c r="A370" s="220"/>
      <c r="B370" s="221"/>
      <c r="C370" s="221"/>
      <c r="D370" s="222"/>
      <c r="E370" s="222"/>
      <c r="F370" s="222"/>
      <c r="G370" s="223"/>
      <c r="H370" s="122"/>
    </row>
    <row r="371" spans="1:8" ht="40.799999999999997" x14ac:dyDescent="0.3">
      <c r="A371" s="224">
        <v>4.2</v>
      </c>
      <c r="B371" s="227">
        <v>5.2</v>
      </c>
      <c r="C371" s="229" t="s">
        <v>352</v>
      </c>
      <c r="D371" s="222">
        <v>15000000</v>
      </c>
      <c r="E371" s="222">
        <v>15000000</v>
      </c>
      <c r="F371" s="222"/>
      <c r="G371" s="223"/>
      <c r="H371" s="122"/>
    </row>
    <row r="372" spans="1:8" ht="21" x14ac:dyDescent="0.3">
      <c r="A372" s="220"/>
      <c r="B372" s="225" t="s">
        <v>77</v>
      </c>
      <c r="C372" s="225" t="s">
        <v>350</v>
      </c>
      <c r="D372" s="228">
        <v>15000000</v>
      </c>
      <c r="E372" s="228">
        <v>15000000</v>
      </c>
      <c r="F372" s="228"/>
      <c r="G372" s="223"/>
      <c r="H372" s="122"/>
    </row>
    <row r="373" spans="1:8" ht="21" x14ac:dyDescent="0.3">
      <c r="A373" s="220"/>
      <c r="B373" s="225" t="s">
        <v>95</v>
      </c>
      <c r="C373" s="225" t="s">
        <v>351</v>
      </c>
      <c r="D373" s="228">
        <v>15000000</v>
      </c>
      <c r="E373" s="228">
        <v>15000000</v>
      </c>
      <c r="F373" s="228"/>
      <c r="G373" s="223"/>
      <c r="H373" s="122"/>
    </row>
    <row r="374" spans="1:8" ht="21" x14ac:dyDescent="0.3">
      <c r="A374" s="220"/>
      <c r="B374" s="221"/>
      <c r="C374" s="221"/>
      <c r="D374" s="222"/>
      <c r="E374" s="222"/>
      <c r="F374" s="222"/>
      <c r="G374" s="223"/>
      <c r="H374" s="122"/>
    </row>
    <row r="375" spans="1:8" ht="21" x14ac:dyDescent="0.4">
      <c r="A375" s="19" t="s">
        <v>28</v>
      </c>
      <c r="B375" s="18"/>
      <c r="C375" s="18" t="s">
        <v>353</v>
      </c>
      <c r="D375" s="22">
        <f t="shared" ref="D375" si="23">D376</f>
        <v>11037000</v>
      </c>
      <c r="E375" s="22">
        <f>D375</f>
        <v>11037000</v>
      </c>
      <c r="F375" s="22"/>
      <c r="G375" s="20"/>
      <c r="H375" s="21"/>
    </row>
    <row r="376" spans="1:8" ht="21" x14ac:dyDescent="0.4">
      <c r="A376" s="19" t="s">
        <v>354</v>
      </c>
      <c r="B376" s="18"/>
      <c r="C376" s="18" t="s">
        <v>355</v>
      </c>
      <c r="D376" s="22">
        <f>D377+D383</f>
        <v>11037000</v>
      </c>
      <c r="E376" s="22">
        <f>D376</f>
        <v>11037000</v>
      </c>
      <c r="F376" s="22"/>
      <c r="G376" s="20" t="s">
        <v>163</v>
      </c>
      <c r="H376" s="230"/>
    </row>
    <row r="377" spans="1:8" ht="20.399999999999999" x14ac:dyDescent="0.35">
      <c r="A377" s="23"/>
      <c r="B377" s="24" t="s">
        <v>75</v>
      </c>
      <c r="C377" s="23" t="s">
        <v>76</v>
      </c>
      <c r="D377" s="25">
        <f>D378</f>
        <v>7537000</v>
      </c>
      <c r="E377" s="25">
        <f>E378</f>
        <v>7537000</v>
      </c>
      <c r="F377" s="25"/>
      <c r="G377" s="231"/>
      <c r="H377" s="230"/>
    </row>
    <row r="378" spans="1:8" ht="21" x14ac:dyDescent="0.4">
      <c r="A378" s="23"/>
      <c r="B378" s="46" t="s">
        <v>77</v>
      </c>
      <c r="C378" s="47" t="s">
        <v>78</v>
      </c>
      <c r="D378" s="163">
        <f>D379+D380+D381+D382</f>
        <v>7537000</v>
      </c>
      <c r="E378" s="163">
        <f>E379+E380+E381+E382</f>
        <v>7537000</v>
      </c>
      <c r="F378" s="163"/>
      <c r="G378" s="231"/>
      <c r="H378" s="230"/>
    </row>
    <row r="379" spans="1:8" ht="20.399999999999999" x14ac:dyDescent="0.35">
      <c r="A379" s="23"/>
      <c r="B379" s="24" t="s">
        <v>79</v>
      </c>
      <c r="C379" s="23" t="s">
        <v>80</v>
      </c>
      <c r="D379" s="51">
        <v>600000</v>
      </c>
      <c r="E379" s="51">
        <v>600000</v>
      </c>
      <c r="F379" s="51"/>
      <c r="G379" s="231"/>
      <c r="H379" s="230"/>
    </row>
    <row r="380" spans="1:8" ht="20.399999999999999" x14ac:dyDescent="0.35">
      <c r="A380" s="23"/>
      <c r="B380" s="24" t="s">
        <v>91</v>
      </c>
      <c r="C380" s="23" t="s">
        <v>92</v>
      </c>
      <c r="D380" s="51">
        <v>120000</v>
      </c>
      <c r="E380" s="51">
        <v>120000</v>
      </c>
      <c r="F380" s="51"/>
      <c r="G380" s="231"/>
      <c r="H380" s="230"/>
    </row>
    <row r="381" spans="1:8" ht="20.399999999999999" x14ac:dyDescent="0.35">
      <c r="A381" s="23"/>
      <c r="B381" s="24" t="s">
        <v>152</v>
      </c>
      <c r="C381" s="23" t="s">
        <v>153</v>
      </c>
      <c r="D381" s="51">
        <v>1617000</v>
      </c>
      <c r="E381" s="51">
        <v>1617000</v>
      </c>
      <c r="F381" s="51"/>
      <c r="G381" s="231"/>
      <c r="H381" s="230"/>
    </row>
    <row r="382" spans="1:8" ht="20.399999999999999" x14ac:dyDescent="0.35">
      <c r="A382" s="23"/>
      <c r="B382" s="24" t="s">
        <v>338</v>
      </c>
      <c r="C382" s="23" t="s">
        <v>356</v>
      </c>
      <c r="D382" s="25">
        <v>5200000</v>
      </c>
      <c r="E382" s="25">
        <v>5200000</v>
      </c>
      <c r="F382" s="25"/>
      <c r="G382" s="231"/>
      <c r="H382" s="230"/>
    </row>
    <row r="383" spans="1:8" ht="21" x14ac:dyDescent="0.4">
      <c r="A383" s="23"/>
      <c r="B383" s="46" t="s">
        <v>95</v>
      </c>
      <c r="C383" s="47" t="s">
        <v>96</v>
      </c>
      <c r="D383" s="48">
        <f>D384+D385</f>
        <v>3500000</v>
      </c>
      <c r="E383" s="48">
        <f>E384+E385</f>
        <v>3500000</v>
      </c>
      <c r="F383" s="48"/>
      <c r="G383" s="231"/>
      <c r="H383" s="230"/>
    </row>
    <row r="384" spans="1:8" ht="20.399999999999999" x14ac:dyDescent="0.35">
      <c r="A384" s="23"/>
      <c r="B384" s="24" t="s">
        <v>104</v>
      </c>
      <c r="C384" s="23" t="s">
        <v>357</v>
      </c>
      <c r="D384" s="51">
        <v>1500000</v>
      </c>
      <c r="E384" s="51">
        <v>1500000</v>
      </c>
      <c r="F384" s="51"/>
      <c r="G384" s="231"/>
      <c r="H384" s="230"/>
    </row>
    <row r="385" spans="1:8" ht="21" x14ac:dyDescent="0.4">
      <c r="A385" s="23"/>
      <c r="B385" s="24" t="s">
        <v>105</v>
      </c>
      <c r="C385" s="23" t="s">
        <v>358</v>
      </c>
      <c r="D385" s="51">
        <v>2000000</v>
      </c>
      <c r="E385" s="51">
        <v>2000000</v>
      </c>
      <c r="F385" s="51"/>
      <c r="G385" s="231"/>
      <c r="H385" s="21"/>
    </row>
    <row r="386" spans="1:8" ht="21" x14ac:dyDescent="0.4">
      <c r="A386" s="23"/>
      <c r="B386" s="27"/>
      <c r="C386" s="217"/>
      <c r="D386" s="48"/>
      <c r="E386" s="48"/>
      <c r="F386" s="48"/>
      <c r="G386" s="232"/>
      <c r="H386" s="21"/>
    </row>
    <row r="387" spans="1:8" ht="21" x14ac:dyDescent="0.4">
      <c r="A387" s="18"/>
      <c r="B387" s="27"/>
      <c r="C387" s="86"/>
      <c r="D387" s="51"/>
      <c r="E387" s="51"/>
      <c r="F387" s="51"/>
      <c r="G387" s="20"/>
      <c r="H387" s="21"/>
    </row>
    <row r="388" spans="1:8" ht="21" x14ac:dyDescent="0.4">
      <c r="A388" s="233"/>
      <c r="B388" s="234"/>
      <c r="C388" s="121"/>
      <c r="D388" s="235"/>
      <c r="E388" s="235"/>
      <c r="F388" s="235"/>
      <c r="G388" s="236"/>
      <c r="H388" s="169"/>
    </row>
    <row r="389" spans="1:8" ht="42" x14ac:dyDescent="0.4">
      <c r="A389" s="233">
        <v>45386</v>
      </c>
      <c r="B389" s="234"/>
      <c r="C389" s="121" t="s">
        <v>359</v>
      </c>
      <c r="D389" s="237">
        <f t="shared" ref="D389:D390" si="24">D390</f>
        <v>10000000</v>
      </c>
      <c r="E389" s="238">
        <v>0</v>
      </c>
      <c r="F389" s="239"/>
      <c r="G389" s="236"/>
      <c r="H389" s="169"/>
    </row>
    <row r="390" spans="1:8" ht="21" x14ac:dyDescent="0.4">
      <c r="A390" s="119" t="s">
        <v>360</v>
      </c>
      <c r="B390" s="234"/>
      <c r="C390" s="120" t="s">
        <v>361</v>
      </c>
      <c r="D390" s="235">
        <f t="shared" si="24"/>
        <v>10000000</v>
      </c>
      <c r="E390" s="239">
        <v>0</v>
      </c>
      <c r="F390" s="235"/>
      <c r="G390" s="236" t="s">
        <v>163</v>
      </c>
      <c r="H390" s="169"/>
    </row>
    <row r="391" spans="1:8" ht="21" x14ac:dyDescent="0.4">
      <c r="A391" s="234"/>
      <c r="B391" s="24" t="s">
        <v>75</v>
      </c>
      <c r="C391" s="23" t="s">
        <v>76</v>
      </c>
      <c r="D391" s="167">
        <f>D392+D396</f>
        <v>10000000</v>
      </c>
      <c r="E391" s="239">
        <v>0</v>
      </c>
      <c r="F391" s="167"/>
      <c r="G391" s="236"/>
      <c r="H391" s="169"/>
    </row>
    <row r="392" spans="1:8" ht="21" x14ac:dyDescent="0.4">
      <c r="A392" s="234"/>
      <c r="B392" s="217" t="s">
        <v>77</v>
      </c>
      <c r="C392" s="240" t="s">
        <v>78</v>
      </c>
      <c r="D392" s="241">
        <f>SUM(D393+D394+D395)</f>
        <v>6800000</v>
      </c>
      <c r="E392" s="239">
        <v>0</v>
      </c>
      <c r="F392" s="241"/>
      <c r="G392" s="236"/>
      <c r="H392" s="169"/>
    </row>
    <row r="393" spans="1:8" ht="21" x14ac:dyDescent="0.4">
      <c r="A393" s="234"/>
      <c r="B393" s="86" t="s">
        <v>91</v>
      </c>
      <c r="C393" s="86" t="s">
        <v>362</v>
      </c>
      <c r="D393" s="197">
        <v>183000</v>
      </c>
      <c r="E393" s="239">
        <v>0</v>
      </c>
      <c r="F393" s="197"/>
      <c r="G393" s="236"/>
      <c r="H393" s="169"/>
    </row>
    <row r="394" spans="1:8" ht="21" x14ac:dyDescent="0.4">
      <c r="A394" s="234"/>
      <c r="B394" s="86" t="s">
        <v>152</v>
      </c>
      <c r="C394" s="86" t="s">
        <v>363</v>
      </c>
      <c r="D394" s="197">
        <v>1617000</v>
      </c>
      <c r="E394" s="239">
        <v>0</v>
      </c>
      <c r="F394" s="197"/>
      <c r="G394" s="236"/>
      <c r="H394" s="21"/>
    </row>
    <row r="395" spans="1:8" ht="21" x14ac:dyDescent="0.4">
      <c r="A395" s="234"/>
      <c r="B395" s="86" t="s">
        <v>318</v>
      </c>
      <c r="C395" s="86" t="s">
        <v>248</v>
      </c>
      <c r="D395" s="197">
        <v>5000000</v>
      </c>
      <c r="E395" s="239">
        <v>0</v>
      </c>
      <c r="F395" s="197"/>
      <c r="G395" s="236"/>
      <c r="H395" s="21"/>
    </row>
    <row r="396" spans="1:8" ht="21" x14ac:dyDescent="0.4">
      <c r="A396" s="234"/>
      <c r="B396" s="217" t="s">
        <v>95</v>
      </c>
      <c r="C396" s="217" t="s">
        <v>364</v>
      </c>
      <c r="D396" s="241">
        <f>D397+D398</f>
        <v>3200000</v>
      </c>
      <c r="E396" s="239">
        <v>0</v>
      </c>
      <c r="F396" s="241"/>
      <c r="G396" s="236"/>
      <c r="H396" s="21"/>
    </row>
    <row r="397" spans="1:8" ht="21" x14ac:dyDescent="0.4">
      <c r="A397" s="234"/>
      <c r="B397" s="242" t="s">
        <v>103</v>
      </c>
      <c r="C397" s="242" t="s">
        <v>216</v>
      </c>
      <c r="D397" s="197">
        <v>1200000</v>
      </c>
      <c r="E397" s="239">
        <v>0</v>
      </c>
      <c r="F397" s="197"/>
      <c r="G397" s="236"/>
      <c r="H397" s="21"/>
    </row>
    <row r="398" spans="1:8" ht="41.4" x14ac:dyDescent="0.4">
      <c r="A398" s="234"/>
      <c r="B398" s="196" t="s">
        <v>109</v>
      </c>
      <c r="C398" s="195" t="s">
        <v>365</v>
      </c>
      <c r="D398" s="197">
        <v>2000000</v>
      </c>
      <c r="E398" s="239">
        <v>0</v>
      </c>
      <c r="F398" s="197"/>
      <c r="G398" s="236"/>
      <c r="H398" s="21"/>
    </row>
    <row r="399" spans="1:8" ht="21" x14ac:dyDescent="0.4">
      <c r="A399" s="234"/>
      <c r="B399" s="166" t="s">
        <v>75</v>
      </c>
      <c r="C399" s="165" t="s">
        <v>76</v>
      </c>
      <c r="D399" s="167">
        <f>D400+D404</f>
        <v>1620000</v>
      </c>
      <c r="E399" s="239">
        <v>0</v>
      </c>
      <c r="F399" s="167"/>
      <c r="G399" s="236"/>
      <c r="H399" s="169"/>
    </row>
    <row r="400" spans="1:8" ht="21" x14ac:dyDescent="0.4">
      <c r="A400" s="234"/>
      <c r="B400" s="243" t="s">
        <v>77</v>
      </c>
      <c r="C400" s="244" t="s">
        <v>78</v>
      </c>
      <c r="D400" s="245">
        <f>SUM(D401+D402+D403)</f>
        <v>1620000</v>
      </c>
      <c r="E400" s="239">
        <v>0</v>
      </c>
      <c r="F400" s="245"/>
      <c r="G400" s="236"/>
      <c r="H400" s="169"/>
    </row>
    <row r="401" spans="1:8" ht="21" x14ac:dyDescent="0.4">
      <c r="A401" s="234"/>
      <c r="B401" s="196" t="s">
        <v>79</v>
      </c>
      <c r="C401" s="23" t="s">
        <v>80</v>
      </c>
      <c r="D401" s="197">
        <v>300000</v>
      </c>
      <c r="E401" s="239">
        <v>0</v>
      </c>
      <c r="F401" s="197"/>
      <c r="G401" s="236"/>
      <c r="H401" s="169"/>
    </row>
    <row r="402" spans="1:8" ht="21" x14ac:dyDescent="0.4">
      <c r="A402" s="234"/>
      <c r="B402" s="242" t="s">
        <v>91</v>
      </c>
      <c r="C402" s="242" t="s">
        <v>362</v>
      </c>
      <c r="D402" s="197">
        <v>320000</v>
      </c>
      <c r="E402" s="239">
        <v>0</v>
      </c>
      <c r="F402" s="197"/>
      <c r="G402" s="236"/>
      <c r="H402" s="169"/>
    </row>
    <row r="403" spans="1:8" ht="21" x14ac:dyDescent="0.4">
      <c r="A403" s="234"/>
      <c r="B403" s="242" t="s">
        <v>152</v>
      </c>
      <c r="C403" s="242" t="s">
        <v>363</v>
      </c>
      <c r="D403" s="197">
        <v>1000000</v>
      </c>
      <c r="E403" s="239">
        <v>0</v>
      </c>
      <c r="F403" s="197"/>
      <c r="G403" s="236"/>
      <c r="H403" s="169"/>
    </row>
    <row r="404" spans="1:8" ht="21" x14ac:dyDescent="0.4">
      <c r="A404" s="234"/>
      <c r="B404" s="243" t="s">
        <v>95</v>
      </c>
      <c r="C404" s="243" t="s">
        <v>364</v>
      </c>
      <c r="D404" s="245"/>
      <c r="E404" s="245"/>
      <c r="F404" s="245"/>
      <c r="G404" s="236"/>
      <c r="H404" s="169"/>
    </row>
    <row r="405" spans="1:8" ht="21" x14ac:dyDescent="0.4">
      <c r="A405" s="234"/>
      <c r="B405" s="234"/>
      <c r="C405" s="234"/>
      <c r="D405" s="235"/>
      <c r="E405" s="235"/>
      <c r="F405" s="235"/>
      <c r="G405" s="236"/>
      <c r="H405" s="169"/>
    </row>
    <row r="406" spans="1:8" ht="21" x14ac:dyDescent="0.4">
      <c r="A406" s="246">
        <v>45842</v>
      </c>
      <c r="B406" s="234"/>
      <c r="C406" s="247" t="s">
        <v>366</v>
      </c>
      <c r="D406" s="235">
        <f t="shared" ref="D406:E407" si="25">D407</f>
        <v>29672237.260000002</v>
      </c>
      <c r="E406" s="235">
        <f t="shared" si="25"/>
        <v>29672237.260000002</v>
      </c>
      <c r="F406" s="235"/>
      <c r="G406" s="236"/>
      <c r="H406" s="169"/>
    </row>
    <row r="407" spans="1:8" ht="21" x14ac:dyDescent="0.4">
      <c r="A407" s="248">
        <v>37441</v>
      </c>
      <c r="B407" s="234"/>
      <c r="C407" s="120" t="s">
        <v>367</v>
      </c>
      <c r="D407" s="235">
        <f t="shared" si="25"/>
        <v>29672237.260000002</v>
      </c>
      <c r="E407" s="235">
        <f t="shared" si="25"/>
        <v>29672237.260000002</v>
      </c>
      <c r="F407" s="235"/>
      <c r="G407" s="236" t="s">
        <v>368</v>
      </c>
      <c r="H407" s="169"/>
    </row>
    <row r="408" spans="1:8" ht="21" x14ac:dyDescent="0.4">
      <c r="A408" s="234"/>
      <c r="B408" s="242" t="s">
        <v>203</v>
      </c>
      <c r="C408" s="196" t="s">
        <v>204</v>
      </c>
      <c r="D408" s="167">
        <f>D409</f>
        <v>29672237.260000002</v>
      </c>
      <c r="E408" s="167">
        <f>E409</f>
        <v>29672237.260000002</v>
      </c>
      <c r="F408" s="167"/>
      <c r="G408" s="236"/>
      <c r="H408" s="169"/>
    </row>
    <row r="409" spans="1:8" ht="21" x14ac:dyDescent="0.4">
      <c r="A409" s="234"/>
      <c r="B409" s="249" t="s">
        <v>369</v>
      </c>
      <c r="C409" s="250" t="s">
        <v>370</v>
      </c>
      <c r="D409" s="197">
        <v>29672237.260000002</v>
      </c>
      <c r="E409" s="197">
        <v>29672237.260000002</v>
      </c>
      <c r="F409" s="197"/>
      <c r="G409" s="236"/>
      <c r="H409" s="169"/>
    </row>
    <row r="410" spans="1:8" ht="21" x14ac:dyDescent="0.4">
      <c r="A410" s="234"/>
      <c r="B410" s="243" t="s">
        <v>371</v>
      </c>
      <c r="C410" s="244" t="s">
        <v>372</v>
      </c>
      <c r="D410" s="251">
        <v>29672237.260000002</v>
      </c>
      <c r="E410" s="251">
        <v>29672237.260000002</v>
      </c>
      <c r="F410" s="251"/>
      <c r="G410" s="236"/>
      <c r="H410" s="169"/>
    </row>
    <row r="411" spans="1:8" ht="21" x14ac:dyDescent="0.4">
      <c r="A411" s="234"/>
      <c r="B411" s="243"/>
      <c r="C411" s="244"/>
      <c r="D411" s="251"/>
      <c r="E411" s="251"/>
      <c r="F411" s="251"/>
      <c r="G411" s="236"/>
      <c r="H411" s="169"/>
    </row>
    <row r="412" spans="1:8" ht="21" x14ac:dyDescent="0.4">
      <c r="A412" s="31" t="s">
        <v>203</v>
      </c>
      <c r="B412" s="32"/>
      <c r="C412" s="32" t="s">
        <v>373</v>
      </c>
      <c r="D412" s="252">
        <f>D413+D415+D417</f>
        <v>45200000</v>
      </c>
      <c r="E412" s="252">
        <f>E413+E415+E417</f>
        <v>35200000</v>
      </c>
      <c r="F412" s="252">
        <f>D412-E412</f>
        <v>10000000</v>
      </c>
      <c r="G412" s="253"/>
      <c r="H412" s="21"/>
    </row>
    <row r="413" spans="1:8" ht="21" x14ac:dyDescent="0.4">
      <c r="A413" s="24" t="s">
        <v>369</v>
      </c>
      <c r="B413" s="23"/>
      <c r="C413" s="23" t="s">
        <v>374</v>
      </c>
      <c r="D413" s="22">
        <f>D414</f>
        <v>10000000</v>
      </c>
      <c r="E413" s="22">
        <f>E414</f>
        <v>0</v>
      </c>
      <c r="F413" s="22"/>
      <c r="G413" s="254"/>
      <c r="H413" s="21"/>
    </row>
    <row r="414" spans="1:8" ht="21" x14ac:dyDescent="0.4">
      <c r="A414" s="23"/>
      <c r="B414" s="24" t="s">
        <v>375</v>
      </c>
      <c r="C414" s="23" t="s">
        <v>376</v>
      </c>
      <c r="D414" s="25">
        <v>10000000</v>
      </c>
      <c r="E414" s="25">
        <v>0</v>
      </c>
      <c r="F414" s="25"/>
      <c r="G414" s="254"/>
      <c r="H414" s="21"/>
    </row>
    <row r="415" spans="1:8" ht="21" x14ac:dyDescent="0.3">
      <c r="A415" s="136" t="s">
        <v>205</v>
      </c>
      <c r="B415" s="135"/>
      <c r="C415" s="135" t="s">
        <v>377</v>
      </c>
      <c r="D415" s="57">
        <f>D416</f>
        <v>10000000</v>
      </c>
      <c r="E415" s="57">
        <f>E416</f>
        <v>10000000</v>
      </c>
      <c r="F415" s="57"/>
      <c r="G415" s="255"/>
      <c r="H415" s="122"/>
    </row>
    <row r="416" spans="1:8" ht="21" x14ac:dyDescent="0.4">
      <c r="A416" s="23"/>
      <c r="B416" s="24" t="s">
        <v>375</v>
      </c>
      <c r="C416" s="23" t="s">
        <v>376</v>
      </c>
      <c r="D416" s="25">
        <v>10000000</v>
      </c>
      <c r="E416" s="25">
        <v>10000000</v>
      </c>
      <c r="F416" s="25"/>
      <c r="G416" s="20"/>
      <c r="H416" s="21"/>
    </row>
    <row r="417" spans="1:8" ht="21" x14ac:dyDescent="0.4">
      <c r="A417" s="24" t="s">
        <v>378</v>
      </c>
      <c r="B417" s="23"/>
      <c r="C417" s="23" t="s">
        <v>379</v>
      </c>
      <c r="D417" s="25">
        <f>D418</f>
        <v>25200000</v>
      </c>
      <c r="E417" s="25">
        <f>E418</f>
        <v>25200000</v>
      </c>
      <c r="F417" s="25"/>
      <c r="G417" s="20" t="s">
        <v>32</v>
      </c>
      <c r="H417" s="21"/>
    </row>
    <row r="418" spans="1:8" ht="21" x14ac:dyDescent="0.4">
      <c r="A418" s="23"/>
      <c r="B418" s="24" t="s">
        <v>375</v>
      </c>
      <c r="C418" s="23" t="s">
        <v>380</v>
      </c>
      <c r="D418" s="51">
        <v>25200000</v>
      </c>
      <c r="E418" s="51">
        <v>25200000</v>
      </c>
      <c r="F418" s="51"/>
      <c r="G418" s="20" t="s">
        <v>32</v>
      </c>
      <c r="H418" s="21"/>
    </row>
    <row r="419" spans="1:8" ht="21" x14ac:dyDescent="0.4">
      <c r="A419" s="23"/>
      <c r="B419" s="23"/>
      <c r="C419" s="23"/>
      <c r="D419" s="25"/>
      <c r="E419" s="25"/>
      <c r="F419" s="25"/>
      <c r="G419" s="20"/>
      <c r="H419" s="21"/>
    </row>
    <row r="420" spans="1:8" ht="21" x14ac:dyDescent="0.4">
      <c r="A420" s="18"/>
      <c r="B420" s="18"/>
      <c r="C420" s="18" t="s">
        <v>381</v>
      </c>
      <c r="D420" s="256">
        <f>D412+D365+D302+D217+D35</f>
        <v>2096882476.6800001</v>
      </c>
      <c r="E420" s="256">
        <f>E35+E217+E302+E365+E412</f>
        <v>1119316476.6800001</v>
      </c>
      <c r="F420" s="256">
        <f>F35+F217+F302+F365+F412</f>
        <v>977566000</v>
      </c>
      <c r="G420" s="20"/>
      <c r="H420" s="21"/>
    </row>
    <row r="421" spans="1:8" ht="21" x14ac:dyDescent="0.4">
      <c r="A421" s="18"/>
      <c r="B421" s="18"/>
      <c r="C421" s="18" t="s">
        <v>382</v>
      </c>
      <c r="D421" s="22">
        <f>D32-D420</f>
        <v>-86676976.680000067</v>
      </c>
      <c r="E421" s="22">
        <f>E32-E420</f>
        <v>-86676976.680000067</v>
      </c>
      <c r="F421" s="22">
        <f>F32-F420</f>
        <v>0</v>
      </c>
      <c r="G421" s="254"/>
      <c r="H421" s="21"/>
    </row>
    <row r="422" spans="1:8" ht="21" x14ac:dyDescent="0.4">
      <c r="A422" s="23"/>
      <c r="B422" s="23"/>
      <c r="C422" s="23"/>
      <c r="D422" s="25"/>
      <c r="E422" s="25"/>
      <c r="F422" s="25"/>
      <c r="G422" s="75"/>
      <c r="H422" s="21"/>
    </row>
    <row r="423" spans="1:8" ht="21" x14ac:dyDescent="0.4">
      <c r="A423" s="32"/>
      <c r="B423" s="31" t="s">
        <v>383</v>
      </c>
      <c r="C423" s="32" t="s">
        <v>384</v>
      </c>
      <c r="D423" s="252"/>
      <c r="E423" s="252"/>
      <c r="F423" s="252"/>
      <c r="G423" s="253"/>
      <c r="H423" s="21"/>
    </row>
    <row r="424" spans="1:8" ht="21" x14ac:dyDescent="0.4">
      <c r="A424" s="32"/>
      <c r="B424" s="31" t="s">
        <v>385</v>
      </c>
      <c r="C424" s="257" t="s">
        <v>386</v>
      </c>
      <c r="D424" s="252">
        <f>SUM(D425:D429)</f>
        <v>101676976.67999999</v>
      </c>
      <c r="E424" s="252">
        <f>D424</f>
        <v>101676976.67999999</v>
      </c>
      <c r="F424" s="252"/>
      <c r="G424" s="34"/>
      <c r="H424" s="258"/>
    </row>
    <row r="425" spans="1:8" ht="21" x14ac:dyDescent="0.4">
      <c r="A425" s="23"/>
      <c r="B425" s="23"/>
      <c r="C425" s="136"/>
      <c r="D425" s="51"/>
      <c r="E425" s="51"/>
      <c r="F425" s="51"/>
      <c r="G425" s="20"/>
      <c r="H425" s="258"/>
    </row>
    <row r="426" spans="1:8" ht="21" x14ac:dyDescent="0.4">
      <c r="A426" s="23"/>
      <c r="B426" s="23"/>
      <c r="C426" s="136" t="s">
        <v>387</v>
      </c>
      <c r="D426" s="51">
        <f>'[1]PER SD'!D108</f>
        <v>14665482.619999999</v>
      </c>
      <c r="E426" s="51">
        <f>D426</f>
        <v>14665482.619999999</v>
      </c>
      <c r="F426" s="51"/>
      <c r="G426" s="20" t="s">
        <v>38</v>
      </c>
      <c r="H426" s="21"/>
    </row>
    <row r="427" spans="1:8" ht="21" x14ac:dyDescent="0.4">
      <c r="A427" s="23"/>
      <c r="B427" s="23"/>
      <c r="C427" s="136" t="s">
        <v>388</v>
      </c>
      <c r="D427" s="51">
        <f>'[1]PER SD'!D110</f>
        <v>43617237.259999998</v>
      </c>
      <c r="E427" s="51">
        <f t="shared" ref="E427:E429" si="26">D427</f>
        <v>43617237.259999998</v>
      </c>
      <c r="F427" s="51"/>
      <c r="G427" s="20" t="s">
        <v>32</v>
      </c>
      <c r="H427" s="60"/>
    </row>
    <row r="428" spans="1:8" ht="21" x14ac:dyDescent="0.4">
      <c r="A428" s="23"/>
      <c r="B428" s="23"/>
      <c r="C428" s="136" t="s">
        <v>389</v>
      </c>
      <c r="D428" s="51">
        <f>'[1]PER SD'!D109</f>
        <v>40353098</v>
      </c>
      <c r="E428" s="51">
        <f t="shared" si="26"/>
        <v>40353098</v>
      </c>
      <c r="F428" s="51"/>
      <c r="G428" s="20" t="s">
        <v>35</v>
      </c>
      <c r="H428" s="21"/>
    </row>
    <row r="429" spans="1:8" ht="21" x14ac:dyDescent="0.4">
      <c r="A429" s="23"/>
      <c r="B429" s="23"/>
      <c r="C429" s="136" t="s">
        <v>390</v>
      </c>
      <c r="D429" s="51">
        <f>'[1]PER SD'!D111</f>
        <v>3041158.8</v>
      </c>
      <c r="E429" s="51">
        <f t="shared" si="26"/>
        <v>3041158.8</v>
      </c>
      <c r="F429" s="51"/>
      <c r="G429" s="20" t="s">
        <v>41</v>
      </c>
      <c r="H429" s="21"/>
    </row>
    <row r="430" spans="1:8" ht="21" x14ac:dyDescent="0.4">
      <c r="A430" s="259"/>
      <c r="B430" s="260" t="s">
        <v>391</v>
      </c>
      <c r="C430" s="259" t="s">
        <v>392</v>
      </c>
      <c r="D430" s="261">
        <f>SUM(D431:D434)</f>
        <v>15000000</v>
      </c>
      <c r="E430" s="261">
        <f>D430</f>
        <v>15000000</v>
      </c>
      <c r="F430" s="261"/>
      <c r="G430" s="262"/>
      <c r="H430" s="263"/>
    </row>
    <row r="431" spans="1:8" ht="21" x14ac:dyDescent="0.4">
      <c r="A431" s="23"/>
      <c r="B431" s="23"/>
      <c r="C431" s="24" t="s">
        <v>393</v>
      </c>
      <c r="D431" s="264">
        <v>0</v>
      </c>
      <c r="E431" s="264"/>
      <c r="F431" s="264"/>
      <c r="G431" s="20"/>
      <c r="H431" s="21"/>
    </row>
    <row r="432" spans="1:8" ht="21" x14ac:dyDescent="0.4">
      <c r="A432" s="23"/>
      <c r="B432" s="23"/>
      <c r="C432" s="86" t="s">
        <v>394</v>
      </c>
      <c r="D432" s="64">
        <v>0</v>
      </c>
      <c r="E432" s="64"/>
      <c r="F432" s="64"/>
      <c r="G432" s="20"/>
      <c r="H432" s="21"/>
    </row>
    <row r="433" spans="1:8" ht="21" x14ac:dyDescent="0.4">
      <c r="A433" s="65"/>
      <c r="B433" s="65"/>
      <c r="C433" s="66" t="s">
        <v>395</v>
      </c>
      <c r="D433" s="265">
        <v>15000000</v>
      </c>
      <c r="E433" s="265">
        <f>D433</f>
        <v>15000000</v>
      </c>
      <c r="F433" s="265"/>
      <c r="G433" s="44" t="s">
        <v>35</v>
      </c>
      <c r="H433" s="45"/>
    </row>
    <row r="434" spans="1:8" ht="21" x14ac:dyDescent="0.4">
      <c r="A434" s="23"/>
      <c r="B434" s="23"/>
      <c r="C434" s="24" t="s">
        <v>396</v>
      </c>
      <c r="D434" s="64">
        <v>0</v>
      </c>
      <c r="E434" s="64"/>
      <c r="F434" s="64"/>
      <c r="G434" s="20"/>
      <c r="H434" s="21"/>
    </row>
    <row r="435" spans="1:8" ht="21" x14ac:dyDescent="0.4">
      <c r="A435" s="18"/>
      <c r="B435" s="18"/>
      <c r="C435" s="120" t="s">
        <v>397</v>
      </c>
      <c r="D435" s="57">
        <f>D424-D430</f>
        <v>86676976.679999992</v>
      </c>
      <c r="E435" s="57"/>
      <c r="F435" s="57"/>
      <c r="G435" s="20"/>
      <c r="H435" s="21"/>
    </row>
    <row r="436" spans="1:8" ht="21" x14ac:dyDescent="0.4">
      <c r="A436" s="18"/>
      <c r="B436" s="18"/>
      <c r="C436" s="120" t="s">
        <v>398</v>
      </c>
      <c r="D436" s="59">
        <f>D421+D435</f>
        <v>0</v>
      </c>
      <c r="E436" s="59"/>
      <c r="F436" s="59"/>
      <c r="G436" s="20"/>
      <c r="H436" s="60"/>
    </row>
    <row r="437" spans="1:8" ht="21" x14ac:dyDescent="0.4">
      <c r="A437" s="1"/>
      <c r="B437" s="1"/>
      <c r="C437" s="1"/>
      <c r="D437" s="6"/>
      <c r="E437" s="6"/>
      <c r="F437" s="6"/>
      <c r="G437" s="6"/>
      <c r="H437" s="4"/>
    </row>
    <row r="438" spans="1:8" ht="21" x14ac:dyDescent="0.4">
      <c r="A438" s="1"/>
      <c r="B438" s="1"/>
      <c r="C438" s="1"/>
      <c r="D438" s="6"/>
      <c r="E438" s="6"/>
      <c r="F438" s="6"/>
      <c r="G438" s="6"/>
      <c r="H438" s="4"/>
    </row>
    <row r="439" spans="1:8" ht="21" x14ac:dyDescent="0.4">
      <c r="A439" s="1"/>
      <c r="B439" s="1"/>
      <c r="C439" s="1"/>
      <c r="D439" s="6"/>
      <c r="E439" s="6"/>
      <c r="F439" s="6"/>
      <c r="G439" s="6"/>
      <c r="H439" s="4"/>
    </row>
    <row r="440" spans="1:8" ht="21" x14ac:dyDescent="0.4">
      <c r="A440" s="1"/>
      <c r="B440" s="1"/>
      <c r="C440" s="1"/>
      <c r="D440" s="266" t="s">
        <v>399</v>
      </c>
      <c r="E440" s="266"/>
      <c r="F440" s="266"/>
      <c r="G440" s="3"/>
      <c r="H440" s="4"/>
    </row>
    <row r="441" spans="1:8" ht="21" x14ac:dyDescent="0.4">
      <c r="A441" s="1"/>
      <c r="B441" s="1"/>
      <c r="C441" s="1"/>
      <c r="D441" s="266" t="s">
        <v>400</v>
      </c>
      <c r="E441" s="266"/>
      <c r="F441" s="266"/>
      <c r="G441" s="3"/>
      <c r="H441" s="4"/>
    </row>
    <row r="442" spans="1:8" ht="21" x14ac:dyDescent="0.4">
      <c r="A442" s="1"/>
      <c r="B442" s="1"/>
      <c r="C442" s="1"/>
      <c r="D442" s="267"/>
      <c r="E442" s="267"/>
      <c r="F442" s="267"/>
      <c r="G442" s="3"/>
      <c r="H442" s="4"/>
    </row>
    <row r="443" spans="1:8" ht="21" x14ac:dyDescent="0.4">
      <c r="A443" s="1"/>
      <c r="B443" s="1"/>
      <c r="C443" s="1"/>
      <c r="D443" s="267"/>
      <c r="E443" s="267"/>
      <c r="F443" s="267"/>
      <c r="G443" s="3"/>
      <c r="H443" s="4"/>
    </row>
    <row r="444" spans="1:8" ht="21" x14ac:dyDescent="0.4">
      <c r="A444" s="1"/>
      <c r="B444" s="1"/>
      <c r="C444" s="1"/>
      <c r="D444" s="267"/>
      <c r="E444" s="267"/>
      <c r="F444" s="267"/>
      <c r="G444" s="3"/>
      <c r="H444" s="4"/>
    </row>
    <row r="445" spans="1:8" ht="21" x14ac:dyDescent="0.4">
      <c r="A445" s="1"/>
      <c r="B445" s="1"/>
      <c r="C445" s="1"/>
      <c r="D445" s="268" t="s">
        <v>401</v>
      </c>
      <c r="E445" s="268"/>
      <c r="F445" s="268"/>
      <c r="G445" s="3"/>
      <c r="H445" s="4"/>
    </row>
  </sheetData>
  <mergeCells count="17">
    <mergeCell ref="H12:H13"/>
    <mergeCell ref="H38:H39"/>
    <mergeCell ref="A334:A335"/>
    <mergeCell ref="B334:B335"/>
    <mergeCell ref="C334:C335"/>
    <mergeCell ref="D334:D335"/>
    <mergeCell ref="E334:E335"/>
    <mergeCell ref="G334:G335"/>
    <mergeCell ref="H334:H335"/>
    <mergeCell ref="A8:G8"/>
    <mergeCell ref="A9:G9"/>
    <mergeCell ref="A10:G10"/>
    <mergeCell ref="A12:B13"/>
    <mergeCell ref="C12:C13"/>
    <mergeCell ref="D12:E12"/>
    <mergeCell ref="F12:F13"/>
    <mergeCell ref="G12:G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63"/>
  <sheetViews>
    <sheetView zoomScale="50" zoomScaleNormal="50" workbookViewId="0">
      <selection activeCell="K12" sqref="K12"/>
    </sheetView>
  </sheetViews>
  <sheetFormatPr defaultRowHeight="14.4" x14ac:dyDescent="0.3"/>
  <cols>
    <col min="1" max="1" width="0.109375" customWidth="1"/>
    <col min="2" max="2" width="4.5546875" customWidth="1"/>
    <col min="3" max="3" width="4.6640625" customWidth="1"/>
    <col min="4" max="4" width="5.77734375" customWidth="1"/>
    <col min="5" max="8" width="4.33203125" customWidth="1"/>
    <col min="9" max="9" width="4.109375" customWidth="1"/>
    <col min="10" max="10" width="117.6640625" customWidth="1"/>
    <col min="11" max="11" width="38.6640625" customWidth="1"/>
    <col min="12" max="12" width="29.33203125" customWidth="1"/>
    <col min="13" max="13" width="6.109375" customWidth="1"/>
  </cols>
  <sheetData>
    <row r="1" spans="1:12" ht="15.6" x14ac:dyDescent="0.3">
      <c r="A1" s="269"/>
      <c r="B1" s="269"/>
      <c r="C1" s="269"/>
      <c r="D1" s="269"/>
      <c r="E1" s="269"/>
      <c r="F1" s="269"/>
      <c r="G1" s="269"/>
      <c r="H1" s="269"/>
      <c r="I1" s="269"/>
      <c r="J1" s="270"/>
      <c r="K1" s="271"/>
      <c r="L1" s="271"/>
    </row>
    <row r="2" spans="1:12" ht="15.6" x14ac:dyDescent="0.3">
      <c r="A2" s="269"/>
      <c r="B2" s="269"/>
      <c r="C2" s="269"/>
      <c r="D2" s="269"/>
      <c r="E2" s="269"/>
      <c r="F2" s="269"/>
      <c r="G2" s="269"/>
      <c r="H2" s="269"/>
      <c r="I2" s="269"/>
      <c r="J2" s="270"/>
      <c r="K2" s="272"/>
      <c r="L2" s="272"/>
    </row>
    <row r="3" spans="1:12" ht="15.6" x14ac:dyDescent="0.3">
      <c r="A3" s="269"/>
      <c r="B3" s="269"/>
      <c r="C3" s="269"/>
      <c r="D3" s="269"/>
      <c r="E3" s="269"/>
      <c r="F3" s="269"/>
      <c r="G3" s="269"/>
      <c r="H3" s="269"/>
      <c r="I3" s="269"/>
      <c r="J3" s="270"/>
      <c r="K3" s="273" t="s">
        <v>403</v>
      </c>
      <c r="L3" s="274"/>
    </row>
    <row r="4" spans="1:12" ht="15.6" x14ac:dyDescent="0.3">
      <c r="A4" s="275"/>
      <c r="B4" s="275"/>
      <c r="C4" s="275"/>
      <c r="D4" s="275"/>
      <c r="E4" s="275"/>
      <c r="F4" s="275"/>
      <c r="G4" s="275"/>
      <c r="H4" s="275"/>
      <c r="J4" s="270"/>
      <c r="K4" s="276" t="s">
        <v>503</v>
      </c>
      <c r="L4" s="277"/>
    </row>
    <row r="5" spans="1:12" ht="15.6" x14ac:dyDescent="0.3">
      <c r="A5" s="275"/>
      <c r="B5" s="275"/>
      <c r="C5" s="275"/>
      <c r="D5" s="275"/>
      <c r="E5" s="275"/>
      <c r="F5" s="275"/>
      <c r="G5" s="275"/>
      <c r="H5" s="275"/>
      <c r="J5" s="278"/>
      <c r="K5" s="279" t="s">
        <v>404</v>
      </c>
      <c r="L5" s="280"/>
    </row>
    <row r="6" spans="1:12" ht="15.6" x14ac:dyDescent="0.3">
      <c r="A6" s="275"/>
      <c r="B6" s="275"/>
      <c r="C6" s="275"/>
      <c r="D6" s="275"/>
      <c r="E6" s="275"/>
      <c r="F6" s="275"/>
      <c r="G6" s="275"/>
      <c r="H6" s="275"/>
      <c r="J6" s="278"/>
      <c r="K6" s="281"/>
      <c r="L6" s="281"/>
    </row>
    <row r="7" spans="1:12" ht="25.2" x14ac:dyDescent="0.3">
      <c r="A7" s="282" t="s">
        <v>131</v>
      </c>
      <c r="B7" s="282"/>
      <c r="C7" s="282"/>
      <c r="D7" s="282"/>
      <c r="E7" s="282"/>
      <c r="F7" s="282"/>
      <c r="G7" s="282"/>
      <c r="H7" s="282"/>
      <c r="I7" s="282"/>
      <c r="J7" s="282"/>
      <c r="K7" s="282"/>
      <c r="L7" s="282"/>
    </row>
    <row r="8" spans="1:12" ht="25.2" x14ac:dyDescent="0.3">
      <c r="A8" s="282" t="s">
        <v>405</v>
      </c>
      <c r="B8" s="282"/>
      <c r="C8" s="282"/>
      <c r="D8" s="282"/>
      <c r="E8" s="282"/>
      <c r="F8" s="282"/>
      <c r="G8" s="282"/>
      <c r="H8" s="282"/>
      <c r="I8" s="282"/>
      <c r="J8" s="282"/>
      <c r="K8" s="282"/>
      <c r="L8" s="282"/>
    </row>
    <row r="9" spans="1:12" ht="25.2" x14ac:dyDescent="0.3">
      <c r="A9" s="282" t="s">
        <v>4</v>
      </c>
      <c r="B9" s="282"/>
      <c r="C9" s="282"/>
      <c r="D9" s="282"/>
      <c r="E9" s="282"/>
      <c r="F9" s="282"/>
      <c r="G9" s="282"/>
      <c r="H9" s="282"/>
      <c r="I9" s="282"/>
      <c r="J9" s="282"/>
      <c r="K9" s="282"/>
      <c r="L9" s="282"/>
    </row>
    <row r="10" spans="1:12" ht="25.2" x14ac:dyDescent="0.3">
      <c r="A10" s="282" t="s">
        <v>406</v>
      </c>
      <c r="B10" s="282"/>
      <c r="C10" s="282"/>
      <c r="D10" s="282"/>
      <c r="E10" s="282"/>
      <c r="F10" s="282"/>
      <c r="G10" s="282"/>
      <c r="H10" s="282"/>
      <c r="I10" s="282"/>
      <c r="J10" s="282"/>
      <c r="K10" s="282"/>
      <c r="L10" s="282"/>
    </row>
    <row r="11" spans="1:12" ht="15" thickBot="1" x14ac:dyDescent="0.35">
      <c r="A11" s="275"/>
      <c r="B11" s="283"/>
      <c r="C11" s="283"/>
      <c r="D11" s="283"/>
      <c r="E11" s="283"/>
      <c r="F11" s="283"/>
      <c r="G11" s="283"/>
      <c r="H11" s="283"/>
      <c r="I11" s="283"/>
      <c r="J11" s="283"/>
      <c r="K11" s="283"/>
      <c r="L11" s="283"/>
    </row>
    <row r="12" spans="1:12" ht="36" thickTop="1" thickBot="1" x14ac:dyDescent="0.35">
      <c r="A12" s="284" t="s">
        <v>407</v>
      </c>
      <c r="B12" s="285" t="s">
        <v>408</v>
      </c>
      <c r="C12" s="286"/>
      <c r="D12" s="286"/>
      <c r="E12" s="286"/>
      <c r="F12" s="286"/>
      <c r="G12" s="286"/>
      <c r="H12" s="286"/>
      <c r="I12" s="287"/>
      <c r="J12" s="288" t="s">
        <v>7</v>
      </c>
      <c r="K12" s="289" t="s">
        <v>409</v>
      </c>
      <c r="L12" s="290" t="s">
        <v>10</v>
      </c>
    </row>
    <row r="13" spans="1:12" ht="15" thickBot="1" x14ac:dyDescent="0.35">
      <c r="A13" s="291">
        <v>1</v>
      </c>
      <c r="B13" s="292">
        <v>1</v>
      </c>
      <c r="C13" s="293"/>
      <c r="D13" s="293"/>
      <c r="E13" s="293"/>
      <c r="F13" s="293"/>
      <c r="G13" s="293"/>
      <c r="H13" s="293"/>
      <c r="I13" s="294"/>
      <c r="J13" s="295">
        <v>2</v>
      </c>
      <c r="K13" s="296">
        <v>3</v>
      </c>
      <c r="L13" s="297">
        <v>4</v>
      </c>
    </row>
    <row r="14" spans="1:12" ht="15" thickTop="1" x14ac:dyDescent="0.3">
      <c r="A14" s="298" t="s">
        <v>410</v>
      </c>
      <c r="B14" s="299" t="s">
        <v>411</v>
      </c>
      <c r="C14" s="300" t="s">
        <v>412</v>
      </c>
      <c r="D14" s="300"/>
      <c r="E14" s="300" t="s">
        <v>413</v>
      </c>
      <c r="F14" s="300"/>
      <c r="G14" s="300"/>
      <c r="H14" s="300"/>
      <c r="I14" s="300" t="s">
        <v>414</v>
      </c>
      <c r="J14" s="300" t="s">
        <v>415</v>
      </c>
      <c r="K14" s="301" t="s">
        <v>416</v>
      </c>
      <c r="L14" s="302" t="s">
        <v>417</v>
      </c>
    </row>
    <row r="15" spans="1:12" ht="23.4" x14ac:dyDescent="0.3">
      <c r="A15" s="303" t="s">
        <v>131</v>
      </c>
      <c r="B15" s="304"/>
      <c r="C15" s="305"/>
      <c r="D15" s="305"/>
      <c r="E15" s="306">
        <v>4</v>
      </c>
      <c r="F15" s="306"/>
      <c r="G15" s="306"/>
      <c r="H15" s="306"/>
      <c r="I15" s="305"/>
      <c r="J15" s="307" t="s">
        <v>15</v>
      </c>
      <c r="K15" s="308" t="s">
        <v>418</v>
      </c>
      <c r="L15" s="309"/>
    </row>
    <row r="16" spans="1:12" ht="23.4" x14ac:dyDescent="0.3">
      <c r="A16" s="310"/>
      <c r="B16" s="311"/>
      <c r="C16" s="312"/>
      <c r="D16" s="313"/>
      <c r="E16" s="314">
        <v>4</v>
      </c>
      <c r="F16" s="314"/>
      <c r="G16" s="314"/>
      <c r="H16" s="314"/>
      <c r="I16" s="315">
        <v>1</v>
      </c>
      <c r="J16" s="316" t="s">
        <v>29</v>
      </c>
      <c r="K16" s="317">
        <f>K18+K19+K20+K17+K22</f>
        <v>2004205500</v>
      </c>
      <c r="L16" s="318"/>
    </row>
    <row r="17" spans="1:12" ht="23.4" x14ac:dyDescent="0.3">
      <c r="A17" s="310"/>
      <c r="B17" s="311"/>
      <c r="C17" s="312"/>
      <c r="D17" s="313"/>
      <c r="E17" s="314"/>
      <c r="F17" s="314"/>
      <c r="G17" s="314"/>
      <c r="H17" s="314"/>
      <c r="I17" s="315"/>
      <c r="J17" s="316" t="s">
        <v>18</v>
      </c>
      <c r="K17" s="319">
        <v>45000000</v>
      </c>
      <c r="L17" s="318"/>
    </row>
    <row r="18" spans="1:12" ht="23.4" x14ac:dyDescent="0.3">
      <c r="A18" s="310"/>
      <c r="B18" s="311"/>
      <c r="C18" s="312"/>
      <c r="D18" s="313"/>
      <c r="E18" s="314"/>
      <c r="F18" s="314"/>
      <c r="G18" s="314"/>
      <c r="H18" s="314"/>
      <c r="I18" s="315"/>
      <c r="J18" s="316" t="s">
        <v>31</v>
      </c>
      <c r="K18" s="319">
        <v>1235902000</v>
      </c>
      <c r="L18" s="320"/>
    </row>
    <row r="19" spans="1:12" ht="23.4" x14ac:dyDescent="0.3">
      <c r="A19" s="310"/>
      <c r="B19" s="311"/>
      <c r="C19" s="312"/>
      <c r="D19" s="313"/>
      <c r="E19" s="314"/>
      <c r="F19" s="314"/>
      <c r="G19" s="314"/>
      <c r="H19" s="314"/>
      <c r="I19" s="315"/>
      <c r="J19" s="316" t="s">
        <v>37</v>
      </c>
      <c r="K19" s="319">
        <v>655803500</v>
      </c>
      <c r="L19" s="321"/>
    </row>
    <row r="20" spans="1:12" ht="23.4" x14ac:dyDescent="0.3">
      <c r="A20" s="310"/>
      <c r="B20" s="311"/>
      <c r="C20" s="312"/>
      <c r="D20" s="313"/>
      <c r="E20" s="314"/>
      <c r="F20" s="314"/>
      <c r="G20" s="314"/>
      <c r="H20" s="314"/>
      <c r="I20" s="315"/>
      <c r="J20" s="316" t="s">
        <v>419</v>
      </c>
      <c r="K20" s="319">
        <v>63500000</v>
      </c>
      <c r="L20" s="322"/>
    </row>
    <row r="21" spans="1:12" ht="23.4" x14ac:dyDescent="0.3">
      <c r="A21" s="310"/>
      <c r="B21" s="311"/>
      <c r="C21" s="315"/>
      <c r="D21" s="314"/>
      <c r="E21" s="314">
        <v>4</v>
      </c>
      <c r="F21" s="314"/>
      <c r="G21" s="314"/>
      <c r="H21" s="314"/>
      <c r="I21" s="315">
        <v>2</v>
      </c>
      <c r="J21" s="316" t="s">
        <v>420</v>
      </c>
      <c r="K21" s="323"/>
      <c r="L21" s="324"/>
    </row>
    <row r="22" spans="1:12" ht="23.4" x14ac:dyDescent="0.3">
      <c r="A22" s="310"/>
      <c r="B22" s="311"/>
      <c r="C22" s="315"/>
      <c r="D22" s="314"/>
      <c r="E22" s="314"/>
      <c r="F22" s="314"/>
      <c r="G22" s="314"/>
      <c r="H22" s="314"/>
      <c r="I22" s="315"/>
      <c r="J22" s="316" t="s">
        <v>421</v>
      </c>
      <c r="K22" s="319">
        <v>4000000</v>
      </c>
      <c r="L22" s="325"/>
    </row>
    <row r="23" spans="1:12" ht="23.4" x14ac:dyDescent="0.3">
      <c r="A23" s="326"/>
      <c r="B23" s="327"/>
      <c r="C23" s="315"/>
      <c r="D23" s="315"/>
      <c r="E23" s="315"/>
      <c r="F23" s="315"/>
      <c r="G23" s="315"/>
      <c r="H23" s="315"/>
      <c r="I23" s="315"/>
      <c r="J23" s="316"/>
      <c r="K23" s="328" t="s">
        <v>131</v>
      </c>
      <c r="L23" s="325"/>
    </row>
    <row r="24" spans="1:12" ht="23.4" x14ac:dyDescent="0.3">
      <c r="A24" s="329"/>
      <c r="B24" s="330"/>
      <c r="C24" s="331"/>
      <c r="D24" s="331"/>
      <c r="E24" s="331"/>
      <c r="F24" s="331"/>
      <c r="G24" s="331"/>
      <c r="H24" s="331"/>
      <c r="I24" s="331"/>
      <c r="J24" s="332" t="s">
        <v>46</v>
      </c>
      <c r="K24" s="333">
        <f>K16</f>
        <v>2004205500</v>
      </c>
      <c r="L24" s="334"/>
    </row>
    <row r="25" spans="1:12" ht="23.4" x14ac:dyDescent="0.45">
      <c r="A25" s="335"/>
      <c r="B25" s="336"/>
      <c r="C25" s="337"/>
      <c r="D25" s="337"/>
      <c r="E25" s="337"/>
      <c r="F25" s="337"/>
      <c r="G25" s="337"/>
      <c r="H25" s="337"/>
      <c r="I25" s="337"/>
      <c r="J25" s="338"/>
      <c r="K25" s="328" t="s">
        <v>131</v>
      </c>
      <c r="L25" s="325"/>
    </row>
    <row r="26" spans="1:12" ht="23.4" x14ac:dyDescent="0.3">
      <c r="A26" s="339" t="s">
        <v>131</v>
      </c>
      <c r="B26" s="340"/>
      <c r="C26" s="341"/>
      <c r="D26" s="341"/>
      <c r="E26" s="342">
        <v>5</v>
      </c>
      <c r="F26" s="342"/>
      <c r="G26" s="342"/>
      <c r="H26" s="342"/>
      <c r="I26" s="341"/>
      <c r="J26" s="343" t="s">
        <v>48</v>
      </c>
      <c r="K26" s="344" t="s">
        <v>131</v>
      </c>
      <c r="L26" s="334"/>
    </row>
    <row r="27" spans="1:12" ht="23.4" x14ac:dyDescent="0.3">
      <c r="A27" s="345">
        <v>1</v>
      </c>
      <c r="B27" s="346">
        <v>1</v>
      </c>
      <c r="C27" s="347"/>
      <c r="D27" s="347"/>
      <c r="E27" s="347"/>
      <c r="F27" s="347"/>
      <c r="G27" s="347"/>
      <c r="H27" s="347"/>
      <c r="I27" s="347"/>
      <c r="J27" s="348" t="s">
        <v>422</v>
      </c>
      <c r="K27" s="349">
        <f>K28+K53+K59+K75+K64</f>
        <v>759420279.42000008</v>
      </c>
      <c r="L27" s="350" t="s">
        <v>131</v>
      </c>
    </row>
    <row r="28" spans="1:12" ht="45.6" x14ac:dyDescent="0.3">
      <c r="A28" s="351">
        <v>1</v>
      </c>
      <c r="B28" s="352">
        <v>1</v>
      </c>
      <c r="C28" s="353">
        <v>1</v>
      </c>
      <c r="D28" s="353"/>
      <c r="E28" s="353"/>
      <c r="F28" s="353"/>
      <c r="G28" s="353"/>
      <c r="H28" s="353"/>
      <c r="I28" s="353"/>
      <c r="J28" s="354" t="s">
        <v>423</v>
      </c>
      <c r="K28" s="355">
        <f>K31+K33+K34+K36+K39+K41+K44+K45+K48+K50+K52</f>
        <v>687203279.42000008</v>
      </c>
      <c r="L28" s="356"/>
    </row>
    <row r="29" spans="1:12" ht="22.8" x14ac:dyDescent="0.3">
      <c r="A29" s="326"/>
      <c r="B29" s="327"/>
      <c r="C29" s="315"/>
      <c r="D29" s="315"/>
      <c r="E29" s="315"/>
      <c r="F29" s="315"/>
      <c r="G29" s="315"/>
      <c r="H29" s="315"/>
      <c r="I29" s="315"/>
      <c r="J29" s="316"/>
      <c r="K29" s="357"/>
      <c r="L29" s="358"/>
    </row>
    <row r="30" spans="1:12" ht="22.8" x14ac:dyDescent="0.3">
      <c r="A30" s="326">
        <v>1</v>
      </c>
      <c r="B30" s="327">
        <v>1</v>
      </c>
      <c r="C30" s="359">
        <v>1</v>
      </c>
      <c r="D30" s="359">
        <v>1</v>
      </c>
      <c r="E30" s="315"/>
      <c r="F30" s="315"/>
      <c r="G30" s="315"/>
      <c r="H30" s="315"/>
      <c r="I30" s="315"/>
      <c r="J30" s="360" t="s">
        <v>424</v>
      </c>
      <c r="K30" s="361">
        <f>'[2]penjabaran apbdes'!M37</f>
        <v>50400000</v>
      </c>
      <c r="L30" s="362" t="s">
        <v>131</v>
      </c>
    </row>
    <row r="31" spans="1:12" ht="22.8" x14ac:dyDescent="0.3">
      <c r="A31" s="326">
        <v>1</v>
      </c>
      <c r="B31" s="327">
        <v>1</v>
      </c>
      <c r="C31" s="359">
        <v>1</v>
      </c>
      <c r="D31" s="315">
        <v>1</v>
      </c>
      <c r="E31" s="315"/>
      <c r="F31" s="315">
        <v>5</v>
      </c>
      <c r="G31" s="315">
        <v>1</v>
      </c>
      <c r="H31" s="315"/>
      <c r="I31" s="315"/>
      <c r="J31" s="360" t="s">
        <v>425</v>
      </c>
      <c r="K31" s="361">
        <f>K30</f>
        <v>50400000</v>
      </c>
      <c r="L31" s="362" t="s">
        <v>38</v>
      </c>
    </row>
    <row r="32" spans="1:12" ht="22.8" x14ac:dyDescent="0.3">
      <c r="A32" s="326">
        <v>1</v>
      </c>
      <c r="B32" s="327">
        <v>1</v>
      </c>
      <c r="C32" s="363">
        <v>1</v>
      </c>
      <c r="D32" s="315">
        <v>2</v>
      </c>
      <c r="E32" s="315"/>
      <c r="F32" s="315"/>
      <c r="G32" s="315"/>
      <c r="H32" s="315"/>
      <c r="I32" s="315"/>
      <c r="J32" s="360" t="s">
        <v>426</v>
      </c>
      <c r="K32" s="364">
        <f>K33</f>
        <v>297600000</v>
      </c>
      <c r="L32" s="358" t="s">
        <v>131</v>
      </c>
    </row>
    <row r="33" spans="1:12" ht="22.8" x14ac:dyDescent="0.3">
      <c r="A33" s="326">
        <v>1</v>
      </c>
      <c r="B33" s="327">
        <v>1</v>
      </c>
      <c r="C33" s="363">
        <v>1</v>
      </c>
      <c r="D33" s="315">
        <v>2</v>
      </c>
      <c r="E33" s="315"/>
      <c r="F33" s="315">
        <v>5</v>
      </c>
      <c r="G33" s="315">
        <v>1</v>
      </c>
      <c r="H33" s="315"/>
      <c r="I33" s="315"/>
      <c r="J33" s="360" t="s">
        <v>425</v>
      </c>
      <c r="K33" s="364">
        <f>'[2]penjabaran apbdes'!M41</f>
        <v>297600000</v>
      </c>
      <c r="L33" s="358" t="s">
        <v>38</v>
      </c>
    </row>
    <row r="34" spans="1:12" ht="22.8" x14ac:dyDescent="0.3">
      <c r="A34" s="326"/>
      <c r="B34" s="327">
        <v>1</v>
      </c>
      <c r="C34" s="363">
        <v>1</v>
      </c>
      <c r="D34" s="315">
        <v>3</v>
      </c>
      <c r="E34" s="315"/>
      <c r="F34" s="315"/>
      <c r="G34" s="315"/>
      <c r="H34" s="315"/>
      <c r="I34" s="315"/>
      <c r="J34" s="360" t="s">
        <v>427</v>
      </c>
      <c r="K34" s="365">
        <f>K35</f>
        <v>45000000</v>
      </c>
      <c r="L34" s="358" t="s">
        <v>18</v>
      </c>
    </row>
    <row r="35" spans="1:12" ht="22.8" x14ac:dyDescent="0.3">
      <c r="A35" s="326"/>
      <c r="B35" s="327">
        <v>1</v>
      </c>
      <c r="C35" s="363">
        <v>1</v>
      </c>
      <c r="D35" s="315">
        <v>3</v>
      </c>
      <c r="E35" s="315"/>
      <c r="F35" s="315">
        <v>5</v>
      </c>
      <c r="G35" s="315">
        <v>1</v>
      </c>
      <c r="H35" s="315"/>
      <c r="I35" s="315"/>
      <c r="J35" s="360" t="s">
        <v>425</v>
      </c>
      <c r="K35" s="364">
        <v>45000000</v>
      </c>
      <c r="L35" s="358"/>
    </row>
    <row r="36" spans="1:12" ht="22.8" x14ac:dyDescent="0.4">
      <c r="A36" s="339">
        <v>1</v>
      </c>
      <c r="B36" s="340">
        <v>1</v>
      </c>
      <c r="C36" s="366">
        <v>1</v>
      </c>
      <c r="D36" s="341">
        <v>4</v>
      </c>
      <c r="E36" s="341"/>
      <c r="F36" s="341"/>
      <c r="G36" s="341"/>
      <c r="H36" s="341"/>
      <c r="I36" s="367"/>
      <c r="J36" s="368" t="s">
        <v>428</v>
      </c>
      <c r="K36" s="369">
        <f>K37</f>
        <v>23464000</v>
      </c>
      <c r="L36" s="370"/>
    </row>
    <row r="37" spans="1:12" ht="22.8" x14ac:dyDescent="0.4">
      <c r="A37" s="326">
        <v>1</v>
      </c>
      <c r="B37" s="327">
        <v>1</v>
      </c>
      <c r="C37" s="315">
        <v>1</v>
      </c>
      <c r="D37" s="315">
        <v>4</v>
      </c>
      <c r="E37" s="315"/>
      <c r="F37" s="315">
        <v>5</v>
      </c>
      <c r="G37" s="315">
        <v>1</v>
      </c>
      <c r="H37" s="315"/>
      <c r="I37" s="371"/>
      <c r="J37" s="360" t="s">
        <v>425</v>
      </c>
      <c r="K37" s="372">
        <f>'[2]penjabaran apbdes'!M52</f>
        <v>23464000</v>
      </c>
      <c r="L37" s="358" t="s">
        <v>38</v>
      </c>
    </row>
    <row r="38" spans="1:12" ht="22.8" x14ac:dyDescent="0.4">
      <c r="A38" s="326"/>
      <c r="B38" s="327"/>
      <c r="C38" s="315"/>
      <c r="D38" s="315"/>
      <c r="E38" s="315"/>
      <c r="F38" s="315"/>
      <c r="G38" s="315"/>
      <c r="H38" s="315"/>
      <c r="I38" s="371"/>
      <c r="J38" s="373"/>
      <c r="K38" s="364"/>
      <c r="L38" s="358"/>
    </row>
    <row r="39" spans="1:12" ht="22.8" x14ac:dyDescent="0.3">
      <c r="A39" s="374">
        <v>1</v>
      </c>
      <c r="B39" s="375">
        <v>1</v>
      </c>
      <c r="C39" s="376">
        <v>1</v>
      </c>
      <c r="D39" s="376">
        <v>5</v>
      </c>
      <c r="E39" s="376"/>
      <c r="F39" s="376"/>
      <c r="G39" s="376"/>
      <c r="H39" s="376"/>
      <c r="I39" s="376"/>
      <c r="J39" s="377" t="s">
        <v>429</v>
      </c>
      <c r="K39" s="378">
        <f>'[2]penjabaran apbdes'!M55</f>
        <v>119299279.42</v>
      </c>
      <c r="L39" s="379"/>
    </row>
    <row r="40" spans="1:12" ht="22.8" x14ac:dyDescent="0.3">
      <c r="A40" s="339">
        <v>1</v>
      </c>
      <c r="B40" s="380">
        <v>1</v>
      </c>
      <c r="C40" s="381">
        <v>1</v>
      </c>
      <c r="D40" s="381">
        <v>5</v>
      </c>
      <c r="E40" s="381"/>
      <c r="F40" s="381">
        <v>5</v>
      </c>
      <c r="G40" s="381">
        <v>2</v>
      </c>
      <c r="H40" s="381"/>
      <c r="I40" s="381"/>
      <c r="J40" s="382" t="s">
        <v>76</v>
      </c>
      <c r="K40" s="383">
        <f>K39</f>
        <v>119299279.42</v>
      </c>
      <c r="L40" s="379" t="s">
        <v>430</v>
      </c>
    </row>
    <row r="41" spans="1:12" ht="22.8" x14ac:dyDescent="0.3">
      <c r="A41" s="339"/>
      <c r="B41" s="384">
        <v>1</v>
      </c>
      <c r="C41" s="385">
        <v>6</v>
      </c>
      <c r="D41" s="385"/>
      <c r="E41" s="386"/>
      <c r="F41" s="386"/>
      <c r="G41" s="386"/>
      <c r="H41" s="387"/>
      <c r="I41" s="387"/>
      <c r="J41" s="388" t="s">
        <v>431</v>
      </c>
      <c r="K41" s="389">
        <f>K42</f>
        <v>37000000</v>
      </c>
      <c r="L41" s="390"/>
    </row>
    <row r="42" spans="1:12" ht="22.8" x14ac:dyDescent="0.3">
      <c r="A42" s="339"/>
      <c r="B42" s="391">
        <v>1</v>
      </c>
      <c r="C42" s="392">
        <v>1</v>
      </c>
      <c r="D42" s="392">
        <v>6</v>
      </c>
      <c r="E42" s="392"/>
      <c r="F42" s="392">
        <v>5</v>
      </c>
      <c r="G42" s="392">
        <v>2</v>
      </c>
      <c r="H42" s="392"/>
      <c r="I42" s="392"/>
      <c r="J42" s="393" t="s">
        <v>76</v>
      </c>
      <c r="K42" s="372">
        <v>37000000</v>
      </c>
      <c r="L42" s="379" t="s">
        <v>163</v>
      </c>
    </row>
    <row r="43" spans="1:12" ht="22.8" x14ac:dyDescent="0.3">
      <c r="A43" s="326">
        <v>1</v>
      </c>
      <c r="B43" s="311">
        <v>1</v>
      </c>
      <c r="C43" s="315">
        <v>1</v>
      </c>
      <c r="D43" s="315">
        <v>7</v>
      </c>
      <c r="E43" s="315"/>
      <c r="F43" s="315"/>
      <c r="G43" s="315"/>
      <c r="H43" s="315"/>
      <c r="I43" s="315"/>
      <c r="J43" s="360" t="s">
        <v>432</v>
      </c>
      <c r="K43" s="394">
        <f>K44+K45</f>
        <v>56200000</v>
      </c>
      <c r="L43" s="358" t="s">
        <v>131</v>
      </c>
    </row>
    <row r="44" spans="1:12" ht="22.8" x14ac:dyDescent="0.3">
      <c r="A44" s="326">
        <v>1</v>
      </c>
      <c r="B44" s="391">
        <v>1</v>
      </c>
      <c r="C44" s="392">
        <v>1</v>
      </c>
      <c r="D44" s="392">
        <v>7</v>
      </c>
      <c r="E44" s="392"/>
      <c r="F44" s="392">
        <v>5</v>
      </c>
      <c r="G44" s="392">
        <v>1</v>
      </c>
      <c r="H44" s="315"/>
      <c r="I44" s="315"/>
      <c r="J44" s="360" t="s">
        <v>425</v>
      </c>
      <c r="K44" s="394">
        <v>55000000</v>
      </c>
      <c r="L44" s="358" t="s">
        <v>38</v>
      </c>
    </row>
    <row r="45" spans="1:12" ht="22.8" x14ac:dyDescent="0.3">
      <c r="A45" s="326"/>
      <c r="B45" s="391">
        <v>1</v>
      </c>
      <c r="C45" s="392">
        <v>1</v>
      </c>
      <c r="D45" s="392">
        <v>8</v>
      </c>
      <c r="E45" s="315"/>
      <c r="F45" s="315"/>
      <c r="G45" s="315"/>
      <c r="H45" s="315"/>
      <c r="I45" s="315"/>
      <c r="J45" s="360" t="s">
        <v>433</v>
      </c>
      <c r="K45" s="394">
        <f>K46</f>
        <v>1200000</v>
      </c>
      <c r="L45" s="358"/>
    </row>
    <row r="46" spans="1:12" ht="22.8" x14ac:dyDescent="0.3">
      <c r="A46" s="326"/>
      <c r="B46" s="391">
        <v>1</v>
      </c>
      <c r="C46" s="392">
        <v>1</v>
      </c>
      <c r="D46" s="392">
        <v>8</v>
      </c>
      <c r="E46" s="392"/>
      <c r="F46" s="392">
        <v>5</v>
      </c>
      <c r="G46" s="392">
        <v>1</v>
      </c>
      <c r="H46" s="315"/>
      <c r="I46" s="315"/>
      <c r="J46" s="360" t="s">
        <v>425</v>
      </c>
      <c r="K46" s="394">
        <f>'[2]penjabaran apbdes'!M111</f>
        <v>1200000</v>
      </c>
      <c r="L46" s="358" t="s">
        <v>38</v>
      </c>
    </row>
    <row r="47" spans="1:12" ht="22.8" x14ac:dyDescent="0.3">
      <c r="A47" s="326">
        <v>1</v>
      </c>
      <c r="B47" s="311">
        <v>1</v>
      </c>
      <c r="C47" s="315">
        <v>1</v>
      </c>
      <c r="D47" s="315">
        <v>9</v>
      </c>
      <c r="E47" s="315"/>
      <c r="F47" s="315"/>
      <c r="G47" s="315"/>
      <c r="H47" s="315"/>
      <c r="I47" s="315"/>
      <c r="J47" s="395" t="s">
        <v>434</v>
      </c>
      <c r="K47" s="396">
        <f>'[2]penjabaran apbdes'!M113</f>
        <v>4000000</v>
      </c>
      <c r="L47" s="358" t="s">
        <v>131</v>
      </c>
    </row>
    <row r="48" spans="1:12" ht="22.8" x14ac:dyDescent="0.3">
      <c r="A48" s="326">
        <v>1</v>
      </c>
      <c r="B48" s="391">
        <v>1</v>
      </c>
      <c r="C48" s="392">
        <v>1</v>
      </c>
      <c r="D48" s="392">
        <v>9</v>
      </c>
      <c r="E48" s="392"/>
      <c r="F48" s="392">
        <v>5</v>
      </c>
      <c r="G48" s="392">
        <v>2</v>
      </c>
      <c r="H48" s="315"/>
      <c r="I48" s="315"/>
      <c r="J48" s="382" t="s">
        <v>76</v>
      </c>
      <c r="K48" s="394">
        <v>4000000</v>
      </c>
      <c r="L48" s="358" t="s">
        <v>38</v>
      </c>
    </row>
    <row r="49" spans="1:12" ht="22.8" x14ac:dyDescent="0.3">
      <c r="A49" s="326">
        <v>1</v>
      </c>
      <c r="B49" s="311">
        <v>1</v>
      </c>
      <c r="C49" s="315">
        <v>1</v>
      </c>
      <c r="D49" s="315">
        <v>10</v>
      </c>
      <c r="E49" s="315"/>
      <c r="F49" s="315"/>
      <c r="G49" s="315"/>
      <c r="H49" s="315"/>
      <c r="I49" s="315"/>
      <c r="J49" s="397" t="s">
        <v>435</v>
      </c>
      <c r="K49" s="396">
        <f>K50</f>
        <v>48840000</v>
      </c>
      <c r="L49" s="358" t="s">
        <v>131</v>
      </c>
    </row>
    <row r="50" spans="1:12" ht="22.8" x14ac:dyDescent="0.3">
      <c r="A50" s="326"/>
      <c r="B50" s="391">
        <v>1</v>
      </c>
      <c r="C50" s="392">
        <v>1</v>
      </c>
      <c r="D50" s="392">
        <v>10</v>
      </c>
      <c r="E50" s="392"/>
      <c r="F50" s="392">
        <v>5</v>
      </c>
      <c r="G50" s="392">
        <v>1</v>
      </c>
      <c r="H50" s="315"/>
      <c r="I50" s="315"/>
      <c r="J50" s="360" t="s">
        <v>425</v>
      </c>
      <c r="K50" s="394">
        <v>48840000</v>
      </c>
      <c r="L50" s="358" t="s">
        <v>38</v>
      </c>
    </row>
    <row r="51" spans="1:12" ht="22.8" x14ac:dyDescent="0.3">
      <c r="A51" s="326"/>
      <c r="B51" s="311">
        <v>1</v>
      </c>
      <c r="C51" s="315">
        <v>1</v>
      </c>
      <c r="D51" s="315">
        <v>11</v>
      </c>
      <c r="E51" s="315"/>
      <c r="F51" s="315"/>
      <c r="G51" s="315"/>
      <c r="H51" s="315"/>
      <c r="I51" s="315"/>
      <c r="J51" s="397" t="s">
        <v>436</v>
      </c>
      <c r="K51" s="396">
        <f>K52</f>
        <v>5400000</v>
      </c>
      <c r="L51" s="358"/>
    </row>
    <row r="52" spans="1:12" ht="22.8" x14ac:dyDescent="0.3">
      <c r="A52" s="398">
        <v>1</v>
      </c>
      <c r="B52" s="391">
        <v>1</v>
      </c>
      <c r="C52" s="392">
        <v>1</v>
      </c>
      <c r="D52" s="392">
        <v>11</v>
      </c>
      <c r="E52" s="392"/>
      <c r="F52" s="392">
        <v>5</v>
      </c>
      <c r="G52" s="392">
        <v>2</v>
      </c>
      <c r="H52" s="315"/>
      <c r="I52" s="315"/>
      <c r="J52" s="382" t="s">
        <v>76</v>
      </c>
      <c r="K52" s="394">
        <f>'[2]penjabaran apbdes'!M126</f>
        <v>5400000</v>
      </c>
      <c r="L52" s="358" t="s">
        <v>66</v>
      </c>
    </row>
    <row r="53" spans="1:12" ht="22.8" x14ac:dyDescent="0.4">
      <c r="A53" s="399">
        <v>1</v>
      </c>
      <c r="B53" s="400">
        <v>1</v>
      </c>
      <c r="C53" s="401">
        <v>2</v>
      </c>
      <c r="D53" s="401"/>
      <c r="E53" s="401"/>
      <c r="F53" s="401"/>
      <c r="G53" s="401"/>
      <c r="H53" s="353"/>
      <c r="I53" s="402"/>
      <c r="J53" s="403" t="s">
        <v>437</v>
      </c>
      <c r="K53" s="404">
        <f>K55+K58</f>
        <v>24500000</v>
      </c>
      <c r="L53" s="405"/>
    </row>
    <row r="54" spans="1:12" ht="22.8" x14ac:dyDescent="0.4">
      <c r="A54" s="398">
        <v>1</v>
      </c>
      <c r="B54" s="406">
        <v>1</v>
      </c>
      <c r="C54" s="407">
        <v>2</v>
      </c>
      <c r="D54" s="408">
        <v>1</v>
      </c>
      <c r="E54" s="408"/>
      <c r="F54" s="408"/>
      <c r="G54" s="408"/>
      <c r="H54" s="409"/>
      <c r="I54" s="315" t="s">
        <v>131</v>
      </c>
      <c r="J54" s="410" t="s">
        <v>438</v>
      </c>
      <c r="K54" s="394">
        <f>'[2]penjabaran apbdes'!M131</f>
        <v>9500000</v>
      </c>
      <c r="L54" s="358" t="s">
        <v>131</v>
      </c>
    </row>
    <row r="55" spans="1:12" ht="22.8" x14ac:dyDescent="0.4">
      <c r="A55" s="398">
        <v>1</v>
      </c>
      <c r="B55" s="406">
        <v>1</v>
      </c>
      <c r="C55" s="407">
        <v>2</v>
      </c>
      <c r="D55" s="408">
        <v>1</v>
      </c>
      <c r="E55" s="411"/>
      <c r="F55" s="411">
        <v>5</v>
      </c>
      <c r="G55" s="411">
        <v>3</v>
      </c>
      <c r="H55" s="411"/>
      <c r="I55" s="411"/>
      <c r="J55" s="382" t="s">
        <v>204</v>
      </c>
      <c r="K55" s="394">
        <f>K54</f>
        <v>9500000</v>
      </c>
      <c r="L55" s="358" t="s">
        <v>439</v>
      </c>
    </row>
    <row r="56" spans="1:12" ht="22.8" x14ac:dyDescent="0.3">
      <c r="A56" s="398"/>
      <c r="B56" s="412"/>
      <c r="C56" s="413"/>
      <c r="D56" s="413"/>
      <c r="E56" s="409"/>
      <c r="F56" s="409"/>
      <c r="G56" s="409"/>
      <c r="H56" s="409"/>
      <c r="I56" s="315"/>
      <c r="J56" s="414" t="s">
        <v>440</v>
      </c>
      <c r="K56" s="415">
        <f>K55</f>
        <v>9500000</v>
      </c>
      <c r="L56" s="358"/>
    </row>
    <row r="57" spans="1:12" ht="22.8" x14ac:dyDescent="0.4">
      <c r="A57" s="398"/>
      <c r="B57" s="406">
        <v>1</v>
      </c>
      <c r="C57" s="407">
        <v>2</v>
      </c>
      <c r="D57" s="408">
        <v>1</v>
      </c>
      <c r="E57" s="409"/>
      <c r="F57" s="409"/>
      <c r="G57" s="409"/>
      <c r="H57" s="409"/>
      <c r="I57" s="315"/>
      <c r="J57" s="416" t="s">
        <v>441</v>
      </c>
      <c r="K57" s="415">
        <f>K58</f>
        <v>15000000</v>
      </c>
      <c r="L57" s="358" t="s">
        <v>81</v>
      </c>
    </row>
    <row r="58" spans="1:12" ht="22.8" x14ac:dyDescent="0.4">
      <c r="A58" s="398"/>
      <c r="B58" s="406">
        <v>1</v>
      </c>
      <c r="C58" s="407">
        <v>2</v>
      </c>
      <c r="D58" s="408">
        <v>1</v>
      </c>
      <c r="E58" s="409"/>
      <c r="F58" s="409">
        <v>5</v>
      </c>
      <c r="G58" s="409">
        <v>2</v>
      </c>
      <c r="H58" s="409"/>
      <c r="I58" s="315"/>
      <c r="J58" s="382" t="s">
        <v>210</v>
      </c>
      <c r="K58" s="415">
        <f>'[2]penjabaran apbdes'!M135</f>
        <v>15000000</v>
      </c>
      <c r="L58" s="358"/>
    </row>
    <row r="59" spans="1:12" ht="45.6" x14ac:dyDescent="0.3">
      <c r="A59" s="399">
        <v>1</v>
      </c>
      <c r="B59" s="352">
        <v>1</v>
      </c>
      <c r="C59" s="353">
        <v>3</v>
      </c>
      <c r="D59" s="353"/>
      <c r="E59" s="353"/>
      <c r="F59" s="353"/>
      <c r="G59" s="353"/>
      <c r="H59" s="353"/>
      <c r="I59" s="402"/>
      <c r="J59" s="417" t="s">
        <v>442</v>
      </c>
      <c r="K59" s="418">
        <f>'[2]penjabaran apbdes'!M136</f>
        <v>7350000</v>
      </c>
      <c r="L59" s="405"/>
    </row>
    <row r="60" spans="1:12" ht="22.8" x14ac:dyDescent="0.3">
      <c r="A60" s="310">
        <v>1</v>
      </c>
      <c r="B60" s="327">
        <v>1</v>
      </c>
      <c r="C60" s="363">
        <v>3</v>
      </c>
      <c r="D60" s="315">
        <v>1</v>
      </c>
      <c r="E60" s="315"/>
      <c r="F60" s="315"/>
      <c r="G60" s="315"/>
      <c r="H60" s="315"/>
      <c r="I60" s="315" t="s">
        <v>131</v>
      </c>
      <c r="J60" s="419" t="s">
        <v>443</v>
      </c>
      <c r="K60" s="394"/>
      <c r="L60" s="358" t="s">
        <v>131</v>
      </c>
    </row>
    <row r="61" spans="1:12" ht="22.8" x14ac:dyDescent="0.3">
      <c r="A61" s="310"/>
      <c r="B61" s="327">
        <v>1</v>
      </c>
      <c r="C61" s="363">
        <v>3</v>
      </c>
      <c r="D61" s="315">
        <v>1</v>
      </c>
      <c r="E61" s="315"/>
      <c r="F61" s="315">
        <v>5</v>
      </c>
      <c r="G61" s="315">
        <v>2</v>
      </c>
      <c r="H61" s="315"/>
      <c r="I61" s="315"/>
      <c r="J61" s="382" t="s">
        <v>76</v>
      </c>
      <c r="K61" s="394">
        <v>2500000</v>
      </c>
      <c r="L61" s="358" t="s">
        <v>163</v>
      </c>
    </row>
    <row r="62" spans="1:12" ht="22.8" x14ac:dyDescent="0.3">
      <c r="A62" s="310"/>
      <c r="B62" s="327">
        <v>1</v>
      </c>
      <c r="C62" s="363">
        <v>3</v>
      </c>
      <c r="D62" s="363">
        <v>2</v>
      </c>
      <c r="E62" s="315"/>
      <c r="F62" s="315"/>
      <c r="G62" s="315"/>
      <c r="H62" s="315"/>
      <c r="I62" s="315"/>
      <c r="J62" s="419" t="s">
        <v>444</v>
      </c>
      <c r="K62" s="394"/>
      <c r="L62" s="358"/>
    </row>
    <row r="63" spans="1:12" ht="22.8" x14ac:dyDescent="0.3">
      <c r="A63" s="310">
        <v>1</v>
      </c>
      <c r="B63" s="327">
        <v>1</v>
      </c>
      <c r="C63" s="363">
        <v>3</v>
      </c>
      <c r="D63" s="363">
        <v>2</v>
      </c>
      <c r="E63" s="315"/>
      <c r="F63" s="315">
        <v>5</v>
      </c>
      <c r="G63" s="315">
        <v>2</v>
      </c>
      <c r="H63" s="315"/>
      <c r="I63" s="315"/>
      <c r="J63" s="382" t="s">
        <v>76</v>
      </c>
      <c r="K63" s="394">
        <v>4850000</v>
      </c>
      <c r="L63" s="358" t="s">
        <v>445</v>
      </c>
    </row>
    <row r="64" spans="1:12" ht="45.6" x14ac:dyDescent="0.3">
      <c r="A64" s="374">
        <v>1</v>
      </c>
      <c r="B64" s="352">
        <v>1</v>
      </c>
      <c r="C64" s="353">
        <v>4</v>
      </c>
      <c r="D64" s="420"/>
      <c r="E64" s="420"/>
      <c r="F64" s="420"/>
      <c r="G64" s="420"/>
      <c r="H64" s="420"/>
      <c r="I64" s="420"/>
      <c r="J64" s="421" t="s">
        <v>446</v>
      </c>
      <c r="K64" s="418">
        <f>'[2]penjabaran apbdes'!M154</f>
        <v>32867000</v>
      </c>
      <c r="L64" s="405"/>
    </row>
    <row r="65" spans="1:12" ht="45.6" x14ac:dyDescent="0.3">
      <c r="A65" s="326">
        <v>1</v>
      </c>
      <c r="B65" s="412">
        <v>1</v>
      </c>
      <c r="C65" s="413">
        <v>4</v>
      </c>
      <c r="D65" s="409">
        <v>1</v>
      </c>
      <c r="E65" s="315"/>
      <c r="F65" s="315"/>
      <c r="G65" s="315"/>
      <c r="H65" s="315"/>
      <c r="I65" s="315"/>
      <c r="J65" s="422" t="s">
        <v>447</v>
      </c>
      <c r="K65" s="396">
        <f>K66</f>
        <v>9000000</v>
      </c>
      <c r="L65" s="358" t="s">
        <v>131</v>
      </c>
    </row>
    <row r="66" spans="1:12" ht="22.8" x14ac:dyDescent="0.3">
      <c r="A66" s="326">
        <v>1</v>
      </c>
      <c r="B66" s="412">
        <v>1</v>
      </c>
      <c r="C66" s="413">
        <v>4</v>
      </c>
      <c r="D66" s="409">
        <v>1</v>
      </c>
      <c r="E66" s="315"/>
      <c r="F66" s="315">
        <v>5</v>
      </c>
      <c r="G66" s="315">
        <v>2</v>
      </c>
      <c r="H66" s="315"/>
      <c r="I66" s="315"/>
      <c r="J66" s="382" t="s">
        <v>76</v>
      </c>
      <c r="K66" s="394">
        <v>9000000</v>
      </c>
      <c r="L66" s="358" t="s">
        <v>163</v>
      </c>
    </row>
    <row r="67" spans="1:12" ht="22.8" x14ac:dyDescent="0.3">
      <c r="A67" s="326"/>
      <c r="B67" s="412">
        <v>1</v>
      </c>
      <c r="C67" s="413">
        <v>4</v>
      </c>
      <c r="D67" s="409">
        <v>1</v>
      </c>
      <c r="E67" s="315"/>
      <c r="F67" s="315"/>
      <c r="G67" s="315"/>
      <c r="H67" s="315"/>
      <c r="I67" s="315"/>
      <c r="J67" s="422" t="s">
        <v>448</v>
      </c>
      <c r="K67" s="396">
        <f>K68</f>
        <v>5727000</v>
      </c>
      <c r="L67" s="358" t="s">
        <v>131</v>
      </c>
    </row>
    <row r="68" spans="1:12" ht="22.8" x14ac:dyDescent="0.3">
      <c r="A68" s="326"/>
      <c r="B68" s="412">
        <v>1</v>
      </c>
      <c r="C68" s="413">
        <v>4</v>
      </c>
      <c r="D68" s="409">
        <v>1</v>
      </c>
      <c r="E68" s="315"/>
      <c r="F68" s="315">
        <v>5</v>
      </c>
      <c r="G68" s="315">
        <v>2</v>
      </c>
      <c r="H68" s="315"/>
      <c r="I68" s="315"/>
      <c r="J68" s="382" t="s">
        <v>76</v>
      </c>
      <c r="K68" s="394">
        <f>'[2]penjabaran apbdes'!M162</f>
        <v>5727000</v>
      </c>
      <c r="L68" s="358" t="s">
        <v>449</v>
      </c>
    </row>
    <row r="69" spans="1:12" ht="22.8" x14ac:dyDescent="0.3">
      <c r="A69" s="326">
        <v>1</v>
      </c>
      <c r="B69" s="412">
        <v>1</v>
      </c>
      <c r="C69" s="413">
        <v>4</v>
      </c>
      <c r="D69" s="409">
        <v>2</v>
      </c>
      <c r="E69" s="315"/>
      <c r="F69" s="315"/>
      <c r="G69" s="315"/>
      <c r="H69" s="315"/>
      <c r="I69" s="315"/>
      <c r="J69" s="419" t="s">
        <v>450</v>
      </c>
      <c r="K69" s="396">
        <f>K70</f>
        <v>2000000</v>
      </c>
      <c r="L69" s="358" t="s">
        <v>131</v>
      </c>
    </row>
    <row r="70" spans="1:12" ht="22.8" x14ac:dyDescent="0.3">
      <c r="A70" s="326">
        <v>1</v>
      </c>
      <c r="B70" s="412">
        <v>1</v>
      </c>
      <c r="C70" s="413">
        <v>4</v>
      </c>
      <c r="D70" s="409">
        <v>2</v>
      </c>
      <c r="E70" s="315"/>
      <c r="F70" s="315">
        <v>5</v>
      </c>
      <c r="G70" s="315">
        <v>2</v>
      </c>
      <c r="H70" s="315"/>
      <c r="I70" s="315"/>
      <c r="J70" s="393" t="s">
        <v>76</v>
      </c>
      <c r="K70" s="394">
        <v>2000000</v>
      </c>
      <c r="L70" s="358" t="s">
        <v>38</v>
      </c>
    </row>
    <row r="71" spans="1:12" ht="22.8" x14ac:dyDescent="0.3">
      <c r="A71" s="326">
        <v>1</v>
      </c>
      <c r="B71" s="412">
        <v>1</v>
      </c>
      <c r="C71" s="413">
        <v>4</v>
      </c>
      <c r="D71" s="409">
        <v>3</v>
      </c>
      <c r="E71" s="315"/>
      <c r="F71" s="315"/>
      <c r="G71" s="315"/>
      <c r="H71" s="315"/>
      <c r="I71" s="315"/>
      <c r="J71" s="419" t="s">
        <v>451</v>
      </c>
      <c r="K71" s="396">
        <f>K72</f>
        <v>7500000</v>
      </c>
      <c r="L71" s="358" t="s">
        <v>131</v>
      </c>
    </row>
    <row r="72" spans="1:12" ht="22.8" x14ac:dyDescent="0.3">
      <c r="A72" s="326">
        <v>1</v>
      </c>
      <c r="B72" s="412">
        <v>1</v>
      </c>
      <c r="C72" s="413">
        <v>4</v>
      </c>
      <c r="D72" s="409">
        <v>3</v>
      </c>
      <c r="E72" s="315"/>
      <c r="F72" s="315">
        <v>5</v>
      </c>
      <c r="G72" s="315">
        <v>2</v>
      </c>
      <c r="H72" s="315"/>
      <c r="I72" s="315"/>
      <c r="J72" s="393" t="s">
        <v>76</v>
      </c>
      <c r="K72" s="394">
        <v>7500000</v>
      </c>
      <c r="L72" s="358" t="s">
        <v>38</v>
      </c>
    </row>
    <row r="73" spans="1:12" ht="22.8" x14ac:dyDescent="0.3">
      <c r="A73" s="326">
        <v>1</v>
      </c>
      <c r="B73" s="412">
        <v>1</v>
      </c>
      <c r="C73" s="413">
        <v>4</v>
      </c>
      <c r="D73" s="409">
        <v>4</v>
      </c>
      <c r="E73" s="315"/>
      <c r="F73" s="315"/>
      <c r="G73" s="315"/>
      <c r="H73" s="315"/>
      <c r="I73" s="315"/>
      <c r="J73" s="422" t="s">
        <v>234</v>
      </c>
      <c r="K73" s="396">
        <f>K74</f>
        <v>8640000</v>
      </c>
      <c r="L73" s="358" t="s">
        <v>131</v>
      </c>
    </row>
    <row r="74" spans="1:12" ht="22.8" x14ac:dyDescent="0.3">
      <c r="A74" s="326">
        <v>1</v>
      </c>
      <c r="B74" s="412">
        <v>1</v>
      </c>
      <c r="C74" s="413">
        <v>4</v>
      </c>
      <c r="D74" s="409">
        <v>4</v>
      </c>
      <c r="E74" s="315"/>
      <c r="F74" s="315">
        <v>5</v>
      </c>
      <c r="G74" s="315">
        <v>2</v>
      </c>
      <c r="H74" s="315"/>
      <c r="I74" s="315"/>
      <c r="J74" s="393" t="s">
        <v>76</v>
      </c>
      <c r="K74" s="394">
        <v>8640000</v>
      </c>
      <c r="L74" s="358" t="s">
        <v>452</v>
      </c>
    </row>
    <row r="75" spans="1:12" ht="23.4" x14ac:dyDescent="0.3">
      <c r="A75" s="374">
        <v>1</v>
      </c>
      <c r="B75" s="423">
        <v>1</v>
      </c>
      <c r="C75" s="424">
        <v>5</v>
      </c>
      <c r="D75" s="424"/>
      <c r="E75" s="424"/>
      <c r="F75" s="424"/>
      <c r="G75" s="424"/>
      <c r="H75" s="424"/>
      <c r="I75" s="424"/>
      <c r="J75" s="417" t="s">
        <v>237</v>
      </c>
      <c r="K75" s="418">
        <f>K77</f>
        <v>7500000</v>
      </c>
      <c r="L75" s="425" t="s">
        <v>453</v>
      </c>
    </row>
    <row r="76" spans="1:12" ht="22.8" x14ac:dyDescent="0.3">
      <c r="A76" s="326">
        <v>1</v>
      </c>
      <c r="B76" s="327">
        <v>1</v>
      </c>
      <c r="C76" s="363">
        <v>5</v>
      </c>
      <c r="D76" s="315">
        <v>1</v>
      </c>
      <c r="E76" s="315"/>
      <c r="F76" s="315"/>
      <c r="G76" s="315"/>
      <c r="H76" s="315"/>
      <c r="I76" s="315" t="s">
        <v>131</v>
      </c>
      <c r="J76" s="410" t="s">
        <v>454</v>
      </c>
      <c r="K76" s="394">
        <f>K77</f>
        <v>7500000</v>
      </c>
      <c r="L76" s="358" t="s">
        <v>131</v>
      </c>
    </row>
    <row r="77" spans="1:12" ht="22.8" x14ac:dyDescent="0.3">
      <c r="A77" s="326">
        <v>1</v>
      </c>
      <c r="B77" s="327">
        <v>1</v>
      </c>
      <c r="C77" s="363">
        <v>5</v>
      </c>
      <c r="D77" s="315">
        <v>1</v>
      </c>
      <c r="E77" s="315"/>
      <c r="F77" s="315">
        <v>5</v>
      </c>
      <c r="G77" s="315">
        <v>2</v>
      </c>
      <c r="H77" s="315"/>
      <c r="I77" s="315"/>
      <c r="J77" s="382" t="s">
        <v>76</v>
      </c>
      <c r="K77" s="394">
        <f>'[2]penjabaran apbdes'!M193</f>
        <v>7500000</v>
      </c>
      <c r="L77" s="426" t="s">
        <v>81</v>
      </c>
    </row>
    <row r="78" spans="1:12" ht="23.4" x14ac:dyDescent="0.3">
      <c r="A78" s="427">
        <v>2</v>
      </c>
      <c r="B78" s="346">
        <v>2</v>
      </c>
      <c r="C78" s="347" t="s">
        <v>131</v>
      </c>
      <c r="D78" s="347"/>
      <c r="E78" s="347"/>
      <c r="F78" s="347"/>
      <c r="G78" s="347"/>
      <c r="H78" s="347"/>
      <c r="I78" s="428"/>
      <c r="J78" s="348" t="s">
        <v>455</v>
      </c>
      <c r="K78" s="429">
        <f>'[2]penjabaran apbdes'!M196</f>
        <v>819365000</v>
      </c>
      <c r="L78" s="430"/>
    </row>
    <row r="79" spans="1:12" ht="23.4" x14ac:dyDescent="0.3">
      <c r="A79" s="399">
        <v>2</v>
      </c>
      <c r="B79" s="352">
        <v>2</v>
      </c>
      <c r="C79" s="353">
        <v>1</v>
      </c>
      <c r="D79" s="353">
        <v>1</v>
      </c>
      <c r="E79" s="353"/>
      <c r="F79" s="353"/>
      <c r="G79" s="353"/>
      <c r="H79" s="353"/>
      <c r="I79" s="431"/>
      <c r="J79" s="432" t="s">
        <v>244</v>
      </c>
      <c r="K79" s="404">
        <f>K80+K82</f>
        <v>26160000</v>
      </c>
      <c r="L79" s="405"/>
    </row>
    <row r="80" spans="1:12" ht="22.8" x14ac:dyDescent="0.3">
      <c r="A80" s="329">
        <v>2</v>
      </c>
      <c r="B80" s="330">
        <v>2</v>
      </c>
      <c r="C80" s="433">
        <v>1</v>
      </c>
      <c r="D80" s="331">
        <v>1</v>
      </c>
      <c r="E80" s="331"/>
      <c r="F80" s="331"/>
      <c r="G80" s="331"/>
      <c r="H80" s="331"/>
      <c r="I80" s="434"/>
      <c r="J80" s="435" t="s">
        <v>456</v>
      </c>
      <c r="K80" s="369">
        <f>K81</f>
        <v>26160000</v>
      </c>
      <c r="L80" s="370"/>
    </row>
    <row r="81" spans="1:12" ht="22.8" x14ac:dyDescent="0.3">
      <c r="A81" s="436">
        <v>2</v>
      </c>
      <c r="B81" s="391">
        <v>2</v>
      </c>
      <c r="C81" s="437">
        <v>1</v>
      </c>
      <c r="D81" s="392">
        <v>1</v>
      </c>
      <c r="E81" s="392"/>
      <c r="F81" s="315">
        <v>5</v>
      </c>
      <c r="G81" s="315">
        <v>2</v>
      </c>
      <c r="H81" s="392"/>
      <c r="I81" s="438">
        <v>2</v>
      </c>
      <c r="J81" s="382" t="s">
        <v>76</v>
      </c>
      <c r="K81" s="396">
        <f>'[2]penjabaran apbdes'!M200</f>
        <v>26160000</v>
      </c>
      <c r="L81" s="379" t="s">
        <v>163</v>
      </c>
    </row>
    <row r="82" spans="1:12" ht="22.8" x14ac:dyDescent="0.3">
      <c r="A82" s="436"/>
      <c r="B82" s="391"/>
      <c r="C82" s="437"/>
      <c r="D82" s="437"/>
      <c r="E82" s="392"/>
      <c r="F82" s="392"/>
      <c r="G82" s="392"/>
      <c r="H82" s="392"/>
      <c r="I82" s="438"/>
      <c r="J82" s="382" t="s">
        <v>457</v>
      </c>
      <c r="K82" s="396">
        <f>K83</f>
        <v>0</v>
      </c>
      <c r="L82" s="379"/>
    </row>
    <row r="83" spans="1:12" ht="22.8" x14ac:dyDescent="0.3">
      <c r="A83" s="436"/>
      <c r="B83" s="391"/>
      <c r="C83" s="437"/>
      <c r="D83" s="437"/>
      <c r="E83" s="392"/>
      <c r="F83" s="392"/>
      <c r="G83" s="392"/>
      <c r="H83" s="392"/>
      <c r="I83" s="438"/>
      <c r="J83" s="382" t="s">
        <v>458</v>
      </c>
      <c r="K83" s="394">
        <v>0</v>
      </c>
      <c r="L83" s="379" t="s">
        <v>163</v>
      </c>
    </row>
    <row r="84" spans="1:12" ht="23.4" x14ac:dyDescent="0.3">
      <c r="A84" s="399">
        <v>2</v>
      </c>
      <c r="B84" s="352">
        <v>2</v>
      </c>
      <c r="C84" s="353">
        <v>2</v>
      </c>
      <c r="D84" s="353"/>
      <c r="E84" s="353"/>
      <c r="F84" s="353"/>
      <c r="G84" s="353"/>
      <c r="H84" s="353"/>
      <c r="I84" s="431"/>
      <c r="J84" s="432" t="s">
        <v>259</v>
      </c>
      <c r="K84" s="404">
        <f>'[2]penjabaran apbdes'!M204</f>
        <v>111900000</v>
      </c>
      <c r="L84" s="405"/>
    </row>
    <row r="85" spans="1:12" ht="45.6" x14ac:dyDescent="0.3">
      <c r="A85" s="436">
        <v>2</v>
      </c>
      <c r="B85" s="391">
        <v>2</v>
      </c>
      <c r="C85" s="437">
        <v>2</v>
      </c>
      <c r="D85" s="437">
        <v>1</v>
      </c>
      <c r="E85" s="392"/>
      <c r="F85" s="392"/>
      <c r="G85" s="392"/>
      <c r="H85" s="392"/>
      <c r="I85" s="439"/>
      <c r="J85" s="393" t="s">
        <v>459</v>
      </c>
      <c r="K85" s="440">
        <f>K86</f>
        <v>3000000</v>
      </c>
      <c r="L85" s="379"/>
    </row>
    <row r="86" spans="1:12" ht="23.4" x14ac:dyDescent="0.3">
      <c r="A86" s="436">
        <v>2</v>
      </c>
      <c r="B86" s="391">
        <v>2</v>
      </c>
      <c r="C86" s="437">
        <v>2</v>
      </c>
      <c r="D86" s="437">
        <v>1</v>
      </c>
      <c r="E86" s="392"/>
      <c r="F86" s="392">
        <v>5</v>
      </c>
      <c r="G86" s="438">
        <v>2</v>
      </c>
      <c r="H86" s="392"/>
      <c r="I86" s="439"/>
      <c r="J86" s="382" t="s">
        <v>76</v>
      </c>
      <c r="K86" s="372">
        <v>3000000</v>
      </c>
      <c r="L86" s="379" t="s">
        <v>163</v>
      </c>
    </row>
    <row r="87" spans="1:12" ht="23.4" x14ac:dyDescent="0.3">
      <c r="A87" s="436">
        <v>2</v>
      </c>
      <c r="B87" s="391">
        <v>2</v>
      </c>
      <c r="C87" s="437">
        <v>2</v>
      </c>
      <c r="D87" s="437">
        <v>2</v>
      </c>
      <c r="E87" s="392"/>
      <c r="F87" s="392">
        <v>2</v>
      </c>
      <c r="G87" s="438"/>
      <c r="H87" s="392"/>
      <c r="I87" s="439"/>
      <c r="J87" s="393" t="s">
        <v>460</v>
      </c>
      <c r="K87" s="396">
        <f>K88</f>
        <v>103900000</v>
      </c>
      <c r="L87" s="379"/>
    </row>
    <row r="88" spans="1:12" ht="23.4" x14ac:dyDescent="0.3">
      <c r="A88" s="436"/>
      <c r="B88" s="391">
        <v>2</v>
      </c>
      <c r="C88" s="437">
        <v>2</v>
      </c>
      <c r="D88" s="437">
        <v>2</v>
      </c>
      <c r="E88" s="392"/>
      <c r="F88" s="392">
        <v>5</v>
      </c>
      <c r="G88" s="438">
        <v>2</v>
      </c>
      <c r="H88" s="392"/>
      <c r="I88" s="439"/>
      <c r="J88" s="382" t="s">
        <v>76</v>
      </c>
      <c r="K88" s="394">
        <f>'[2]penjabaran apbdes'!M211</f>
        <v>103900000</v>
      </c>
      <c r="L88" s="379" t="s">
        <v>163</v>
      </c>
    </row>
    <row r="89" spans="1:12" ht="23.4" x14ac:dyDescent="0.3">
      <c r="A89" s="436"/>
      <c r="B89" s="391">
        <v>2</v>
      </c>
      <c r="C89" s="437">
        <v>2</v>
      </c>
      <c r="D89" s="437">
        <v>3</v>
      </c>
      <c r="E89" s="392"/>
      <c r="F89" s="392">
        <v>3</v>
      </c>
      <c r="G89" s="438"/>
      <c r="H89" s="392"/>
      <c r="I89" s="439"/>
      <c r="J89" s="382" t="s">
        <v>461</v>
      </c>
      <c r="K89" s="396">
        <v>5000000</v>
      </c>
      <c r="L89" s="379" t="s">
        <v>462</v>
      </c>
    </row>
    <row r="90" spans="1:12" ht="23.4" x14ac:dyDescent="0.3">
      <c r="A90" s="436"/>
      <c r="B90" s="437">
        <v>2</v>
      </c>
      <c r="C90" s="392">
        <v>3</v>
      </c>
      <c r="D90" s="392">
        <v>3</v>
      </c>
      <c r="E90" s="392"/>
      <c r="F90" s="392">
        <v>5</v>
      </c>
      <c r="G90" s="438">
        <v>2</v>
      </c>
      <c r="H90" s="392"/>
      <c r="I90" s="439"/>
      <c r="J90" s="382" t="s">
        <v>76</v>
      </c>
      <c r="K90" s="394">
        <v>5000000</v>
      </c>
      <c r="L90" s="379"/>
    </row>
    <row r="91" spans="1:12" ht="23.4" x14ac:dyDescent="0.3">
      <c r="A91" s="399">
        <v>2</v>
      </c>
      <c r="B91" s="352">
        <v>2</v>
      </c>
      <c r="C91" s="353">
        <v>3</v>
      </c>
      <c r="D91" s="353">
        <v>1</v>
      </c>
      <c r="E91" s="353"/>
      <c r="F91" s="353"/>
      <c r="G91" s="353"/>
      <c r="H91" s="353"/>
      <c r="I91" s="431"/>
      <c r="J91" s="441" t="s">
        <v>463</v>
      </c>
      <c r="K91" s="404">
        <f>'[2]penjabaran apbdes'!M237</f>
        <v>681305000</v>
      </c>
      <c r="L91" s="405"/>
    </row>
    <row r="92" spans="1:12" ht="23.4" x14ac:dyDescent="0.3">
      <c r="A92" s="436">
        <v>2</v>
      </c>
      <c r="B92" s="442">
        <v>2</v>
      </c>
      <c r="C92" s="443">
        <v>3</v>
      </c>
      <c r="D92" s="444"/>
      <c r="E92" s="444"/>
      <c r="F92" s="444"/>
      <c r="G92" s="444"/>
      <c r="H92" s="444"/>
      <c r="I92" s="439"/>
      <c r="J92" s="445" t="s">
        <v>464</v>
      </c>
      <c r="K92" s="440">
        <f>'[2]penjabaran apbdes'!M238</f>
        <v>518642725</v>
      </c>
      <c r="L92" s="379" t="s">
        <v>163</v>
      </c>
    </row>
    <row r="93" spans="1:12" ht="23.4" x14ac:dyDescent="0.3">
      <c r="A93" s="436"/>
      <c r="B93" s="446">
        <v>2</v>
      </c>
      <c r="C93" s="437">
        <v>3</v>
      </c>
      <c r="D93" s="392">
        <v>1</v>
      </c>
      <c r="E93" s="392"/>
      <c r="F93" s="392"/>
      <c r="G93" s="392"/>
      <c r="H93" s="392"/>
      <c r="I93" s="439"/>
      <c r="J93" s="393" t="s">
        <v>465</v>
      </c>
      <c r="K93" s="440">
        <f>'[2]penjabaran apbdes'!M239</f>
        <v>178589550</v>
      </c>
      <c r="L93" s="379"/>
    </row>
    <row r="94" spans="1:12" ht="23.4" x14ac:dyDescent="0.3">
      <c r="A94" s="436"/>
      <c r="B94" s="446">
        <v>2</v>
      </c>
      <c r="C94" s="437">
        <v>3</v>
      </c>
      <c r="D94" s="392">
        <v>1</v>
      </c>
      <c r="E94" s="392"/>
      <c r="F94" s="392">
        <v>5</v>
      </c>
      <c r="G94" s="392">
        <v>3</v>
      </c>
      <c r="H94" s="392"/>
      <c r="I94" s="439"/>
      <c r="J94" s="393" t="s">
        <v>204</v>
      </c>
      <c r="K94" s="372">
        <v>179676700</v>
      </c>
      <c r="L94" s="379" t="s">
        <v>163</v>
      </c>
    </row>
    <row r="95" spans="1:12" ht="23.4" x14ac:dyDescent="0.3">
      <c r="A95" s="436"/>
      <c r="B95" s="447">
        <v>2</v>
      </c>
      <c r="C95" s="448">
        <v>3</v>
      </c>
      <c r="D95" s="449">
        <v>2</v>
      </c>
      <c r="E95" s="449"/>
      <c r="F95" s="449"/>
      <c r="G95" s="449"/>
      <c r="H95" s="449"/>
      <c r="I95" s="450"/>
      <c r="J95" s="451" t="s">
        <v>466</v>
      </c>
      <c r="K95" s="452">
        <f>'[2]penjabaran apbdes'!M241</f>
        <v>138377425</v>
      </c>
      <c r="L95" s="453"/>
    </row>
    <row r="96" spans="1:12" ht="23.4" x14ac:dyDescent="0.3">
      <c r="A96" s="436"/>
      <c r="B96" s="446">
        <v>2</v>
      </c>
      <c r="C96" s="437">
        <v>3</v>
      </c>
      <c r="D96" s="392">
        <v>2</v>
      </c>
      <c r="E96" s="392"/>
      <c r="F96" s="392">
        <v>5</v>
      </c>
      <c r="G96" s="392">
        <v>3</v>
      </c>
      <c r="H96" s="392"/>
      <c r="I96" s="439"/>
      <c r="J96" s="393" t="s">
        <v>204</v>
      </c>
      <c r="K96" s="372">
        <v>138377425</v>
      </c>
      <c r="L96" s="379"/>
    </row>
    <row r="97" spans="1:12" ht="23.4" x14ac:dyDescent="0.3">
      <c r="A97" s="436"/>
      <c r="B97" s="446">
        <v>2</v>
      </c>
      <c r="C97" s="437">
        <v>3</v>
      </c>
      <c r="D97" s="392">
        <v>3</v>
      </c>
      <c r="E97" s="392"/>
      <c r="F97" s="392"/>
      <c r="G97" s="392"/>
      <c r="H97" s="392"/>
      <c r="I97" s="439"/>
      <c r="J97" s="393" t="s">
        <v>467</v>
      </c>
      <c r="K97" s="440">
        <f>'[2]penjabaran apbdes'!M243</f>
        <v>201675750</v>
      </c>
      <c r="L97" s="379"/>
    </row>
    <row r="98" spans="1:12" ht="23.4" x14ac:dyDescent="0.3">
      <c r="A98" s="436"/>
      <c r="B98" s="446">
        <v>2</v>
      </c>
      <c r="C98" s="437">
        <v>3</v>
      </c>
      <c r="D98" s="392">
        <v>3</v>
      </c>
      <c r="E98" s="392"/>
      <c r="F98" s="392">
        <v>5</v>
      </c>
      <c r="G98" s="392">
        <v>3</v>
      </c>
      <c r="H98" s="392"/>
      <c r="I98" s="439"/>
      <c r="J98" s="393" t="s">
        <v>204</v>
      </c>
      <c r="K98" s="372">
        <f>K97</f>
        <v>201675750</v>
      </c>
      <c r="L98" s="379" t="s">
        <v>163</v>
      </c>
    </row>
    <row r="99" spans="1:12" ht="23.4" x14ac:dyDescent="0.3">
      <c r="A99" s="436"/>
      <c r="B99" s="391"/>
      <c r="C99" s="437"/>
      <c r="D99" s="392"/>
      <c r="E99" s="392"/>
      <c r="F99" s="392"/>
      <c r="G99" s="392"/>
      <c r="H99" s="392"/>
      <c r="I99" s="439"/>
      <c r="J99" s="393"/>
      <c r="K99" s="372"/>
      <c r="L99" s="379"/>
    </row>
    <row r="100" spans="1:12" ht="23.4" x14ac:dyDescent="0.3">
      <c r="A100" s="436"/>
      <c r="B100" s="454">
        <v>2</v>
      </c>
      <c r="C100" s="448">
        <v>3</v>
      </c>
      <c r="D100" s="448">
        <v>7</v>
      </c>
      <c r="E100" s="449"/>
      <c r="F100" s="449"/>
      <c r="G100" s="449"/>
      <c r="H100" s="449"/>
      <c r="I100" s="450"/>
      <c r="J100" s="451" t="s">
        <v>468</v>
      </c>
      <c r="K100" s="452">
        <f>'[2]penjabaran apbdes'!M247</f>
        <v>142662275</v>
      </c>
      <c r="L100" s="453"/>
    </row>
    <row r="101" spans="1:12" ht="23.4" x14ac:dyDescent="0.3">
      <c r="A101" s="436"/>
      <c r="B101" s="391">
        <v>2</v>
      </c>
      <c r="C101" s="437">
        <v>3</v>
      </c>
      <c r="D101" s="437">
        <v>7</v>
      </c>
      <c r="E101" s="392"/>
      <c r="F101" s="392">
        <v>5</v>
      </c>
      <c r="G101" s="392">
        <v>3</v>
      </c>
      <c r="H101" s="392"/>
      <c r="I101" s="439"/>
      <c r="J101" s="393" t="s">
        <v>204</v>
      </c>
      <c r="K101" s="372">
        <f>'[2]penjabaran apbdes'!M248</f>
        <v>142662275</v>
      </c>
      <c r="L101" s="379"/>
    </row>
    <row r="102" spans="1:12" ht="23.4" x14ac:dyDescent="0.3">
      <c r="A102" s="436"/>
      <c r="B102" s="454">
        <v>2</v>
      </c>
      <c r="C102" s="448">
        <v>3</v>
      </c>
      <c r="D102" s="448">
        <v>8</v>
      </c>
      <c r="E102" s="449"/>
      <c r="F102" s="449"/>
      <c r="G102" s="449"/>
      <c r="H102" s="449"/>
      <c r="I102" s="450"/>
      <c r="J102" s="455" t="s">
        <v>469</v>
      </c>
      <c r="K102" s="452">
        <f>K103</f>
        <v>0</v>
      </c>
      <c r="L102" s="456"/>
    </row>
    <row r="103" spans="1:12" ht="23.4" x14ac:dyDescent="0.3">
      <c r="A103" s="436"/>
      <c r="B103" s="391">
        <v>2</v>
      </c>
      <c r="C103" s="437">
        <v>3</v>
      </c>
      <c r="D103" s="437">
        <v>8</v>
      </c>
      <c r="E103" s="392"/>
      <c r="F103" s="392">
        <v>5</v>
      </c>
      <c r="G103" s="392">
        <v>3</v>
      </c>
      <c r="H103" s="392"/>
      <c r="I103" s="439"/>
      <c r="J103" s="393" t="s">
        <v>204</v>
      </c>
      <c r="K103" s="372">
        <v>0</v>
      </c>
      <c r="L103" s="379" t="s">
        <v>163</v>
      </c>
    </row>
    <row r="104" spans="1:12" ht="23.4" x14ac:dyDescent="0.3">
      <c r="A104" s="399"/>
      <c r="B104" s="457">
        <v>2</v>
      </c>
      <c r="C104" s="392">
        <v>3</v>
      </c>
      <c r="D104" s="392">
        <v>9</v>
      </c>
      <c r="E104" s="392"/>
      <c r="F104" s="392"/>
      <c r="G104" s="392"/>
      <c r="H104" s="392"/>
      <c r="I104" s="439"/>
      <c r="J104" s="458" t="s">
        <v>470</v>
      </c>
      <c r="K104" s="440">
        <f>K105</f>
        <v>0</v>
      </c>
      <c r="L104" s="379"/>
    </row>
    <row r="105" spans="1:12" ht="22.8" x14ac:dyDescent="0.3">
      <c r="A105" s="399"/>
      <c r="B105" s="391">
        <v>5</v>
      </c>
      <c r="C105" s="392">
        <v>3</v>
      </c>
      <c r="D105" s="392">
        <v>9</v>
      </c>
      <c r="E105" s="392"/>
      <c r="F105" s="392">
        <v>5</v>
      </c>
      <c r="G105" s="392">
        <v>2</v>
      </c>
      <c r="H105" s="392"/>
      <c r="I105" s="438">
        <v>2</v>
      </c>
      <c r="J105" s="393" t="s">
        <v>76</v>
      </c>
      <c r="K105" s="372">
        <v>0</v>
      </c>
      <c r="L105" s="379" t="s">
        <v>163</v>
      </c>
    </row>
    <row r="106" spans="1:12" ht="22.8" x14ac:dyDescent="0.3">
      <c r="A106" s="399"/>
      <c r="B106" s="391">
        <v>2</v>
      </c>
      <c r="C106" s="392">
        <v>3</v>
      </c>
      <c r="D106" s="392">
        <v>10</v>
      </c>
      <c r="E106" s="392"/>
      <c r="F106" s="392"/>
      <c r="G106" s="392"/>
      <c r="H106" s="392"/>
      <c r="I106" s="438"/>
      <c r="J106" s="445" t="s">
        <v>471</v>
      </c>
      <c r="K106" s="372">
        <f>K107</f>
        <v>20000000</v>
      </c>
      <c r="L106" s="379"/>
    </row>
    <row r="107" spans="1:12" ht="22.8" x14ac:dyDescent="0.3">
      <c r="A107" s="399"/>
      <c r="B107" s="391">
        <v>2</v>
      </c>
      <c r="C107" s="392">
        <v>3</v>
      </c>
      <c r="D107" s="392">
        <v>10</v>
      </c>
      <c r="E107" s="392"/>
      <c r="F107" s="392">
        <v>5</v>
      </c>
      <c r="G107" s="392">
        <v>2</v>
      </c>
      <c r="H107" s="392"/>
      <c r="I107" s="438"/>
      <c r="J107" s="393" t="s">
        <v>76</v>
      </c>
      <c r="K107" s="372">
        <v>20000000</v>
      </c>
      <c r="L107" s="379" t="s">
        <v>462</v>
      </c>
    </row>
    <row r="108" spans="1:12" ht="23.4" x14ac:dyDescent="0.3">
      <c r="A108" s="399"/>
      <c r="B108" s="442"/>
      <c r="C108" s="444"/>
      <c r="D108" s="444"/>
      <c r="E108" s="444"/>
      <c r="F108" s="444"/>
      <c r="G108" s="444"/>
      <c r="H108" s="444"/>
      <c r="I108" s="439"/>
      <c r="J108" s="393"/>
      <c r="K108" s="372"/>
      <c r="L108" s="379"/>
    </row>
    <row r="109" spans="1:12" ht="23.4" x14ac:dyDescent="0.3">
      <c r="A109" s="345">
        <v>3</v>
      </c>
      <c r="B109" s="459">
        <v>3</v>
      </c>
      <c r="C109" s="450" t="s">
        <v>131</v>
      </c>
      <c r="D109" s="450"/>
      <c r="E109" s="450"/>
      <c r="F109" s="450"/>
      <c r="G109" s="450"/>
      <c r="H109" s="450"/>
      <c r="I109" s="450"/>
      <c r="J109" s="460" t="s">
        <v>472</v>
      </c>
      <c r="K109" s="452">
        <f>'[2]penjabaran apbdes'!M257</f>
        <v>283950000</v>
      </c>
      <c r="L109" s="461"/>
    </row>
    <row r="110" spans="1:12" ht="45.6" x14ac:dyDescent="0.3">
      <c r="A110" s="399">
        <v>3</v>
      </c>
      <c r="B110" s="462">
        <v>3</v>
      </c>
      <c r="C110" s="431">
        <v>1</v>
      </c>
      <c r="D110" s="431"/>
      <c r="E110" s="431"/>
      <c r="F110" s="431"/>
      <c r="G110" s="431"/>
      <c r="H110" s="431"/>
      <c r="I110" s="431"/>
      <c r="J110" s="441" t="s">
        <v>297</v>
      </c>
      <c r="K110" s="404">
        <f>K111</f>
        <v>10945000</v>
      </c>
      <c r="L110" s="463"/>
    </row>
    <row r="111" spans="1:12" ht="45.6" x14ac:dyDescent="0.3">
      <c r="A111" s="464">
        <v>3</v>
      </c>
      <c r="B111" s="391">
        <v>3</v>
      </c>
      <c r="C111" s="437">
        <v>1</v>
      </c>
      <c r="D111" s="392">
        <v>1</v>
      </c>
      <c r="E111" s="392"/>
      <c r="F111" s="392"/>
      <c r="G111" s="392"/>
      <c r="H111" s="392"/>
      <c r="I111" s="392"/>
      <c r="J111" s="393" t="s">
        <v>299</v>
      </c>
      <c r="K111" s="440">
        <v>10945000</v>
      </c>
      <c r="L111" s="465"/>
    </row>
    <row r="112" spans="1:12" ht="22.8" x14ac:dyDescent="0.3">
      <c r="A112" s="464"/>
      <c r="B112" s="391">
        <v>3</v>
      </c>
      <c r="C112" s="437">
        <v>1</v>
      </c>
      <c r="D112" s="392">
        <v>1</v>
      </c>
      <c r="E112" s="392"/>
      <c r="F112" s="392">
        <v>5</v>
      </c>
      <c r="G112" s="392">
        <v>2</v>
      </c>
      <c r="H112" s="392"/>
      <c r="I112" s="392"/>
      <c r="J112" s="393" t="s">
        <v>76</v>
      </c>
      <c r="K112" s="372">
        <v>10945000</v>
      </c>
      <c r="L112" s="465" t="s">
        <v>163</v>
      </c>
    </row>
    <row r="113" spans="1:12" ht="23.4" x14ac:dyDescent="0.3">
      <c r="A113" s="399">
        <v>3</v>
      </c>
      <c r="B113" s="462">
        <v>3</v>
      </c>
      <c r="C113" s="431">
        <v>2</v>
      </c>
      <c r="D113" s="431"/>
      <c r="E113" s="431"/>
      <c r="F113" s="431"/>
      <c r="G113" s="431"/>
      <c r="H113" s="431"/>
      <c r="I113" s="466"/>
      <c r="J113" s="441" t="s">
        <v>311</v>
      </c>
      <c r="K113" s="404">
        <f>'[2]penjabaran apbdes'!M268</f>
        <v>211000000</v>
      </c>
      <c r="L113" s="467"/>
    </row>
    <row r="114" spans="1:12" ht="45.6" x14ac:dyDescent="0.3">
      <c r="A114" s="464">
        <v>3</v>
      </c>
      <c r="B114" s="392">
        <v>3</v>
      </c>
      <c r="C114" s="392">
        <v>2</v>
      </c>
      <c r="D114" s="392">
        <v>1</v>
      </c>
      <c r="E114" s="392"/>
      <c r="F114" s="438"/>
      <c r="G114" s="438"/>
      <c r="H114" s="438"/>
      <c r="I114" s="438"/>
      <c r="J114" s="468" t="s">
        <v>313</v>
      </c>
      <c r="K114" s="372"/>
      <c r="L114" s="465"/>
    </row>
    <row r="115" spans="1:12" ht="22.8" x14ac:dyDescent="0.3">
      <c r="A115" s="464">
        <v>3</v>
      </c>
      <c r="B115" s="392">
        <v>3</v>
      </c>
      <c r="C115" s="392">
        <v>2</v>
      </c>
      <c r="D115" s="392">
        <v>1</v>
      </c>
      <c r="E115" s="392" t="s">
        <v>131</v>
      </c>
      <c r="F115" s="392">
        <v>5</v>
      </c>
      <c r="G115" s="392">
        <v>2</v>
      </c>
      <c r="H115" s="392"/>
      <c r="I115" s="392"/>
      <c r="J115" s="393" t="s">
        <v>76</v>
      </c>
      <c r="K115" s="372">
        <f>'[2]penjabaran apbdes'!M268</f>
        <v>211000000</v>
      </c>
      <c r="L115" s="465" t="s">
        <v>163</v>
      </c>
    </row>
    <row r="116" spans="1:12" ht="23.4" x14ac:dyDescent="0.3">
      <c r="A116" s="399">
        <v>3</v>
      </c>
      <c r="B116" s="462">
        <v>3</v>
      </c>
      <c r="C116" s="431">
        <v>3</v>
      </c>
      <c r="D116" s="431"/>
      <c r="E116" s="431"/>
      <c r="F116" s="431"/>
      <c r="G116" s="431"/>
      <c r="H116" s="431"/>
      <c r="I116" s="431"/>
      <c r="J116" s="354" t="s">
        <v>473</v>
      </c>
      <c r="K116" s="404">
        <f>K118</f>
        <v>10000000</v>
      </c>
      <c r="L116" s="467"/>
    </row>
    <row r="117" spans="1:12" ht="23.4" x14ac:dyDescent="0.3">
      <c r="A117" s="464">
        <v>3</v>
      </c>
      <c r="B117" s="462">
        <v>3</v>
      </c>
      <c r="C117" s="431">
        <v>3</v>
      </c>
      <c r="D117" s="392">
        <v>1</v>
      </c>
      <c r="E117" s="392"/>
      <c r="F117" s="392"/>
      <c r="G117" s="392"/>
      <c r="H117" s="392"/>
      <c r="I117" s="392"/>
      <c r="J117" s="468" t="s">
        <v>474</v>
      </c>
      <c r="K117" s="372"/>
      <c r="L117" s="465" t="s">
        <v>131</v>
      </c>
    </row>
    <row r="118" spans="1:12" ht="23.4" x14ac:dyDescent="0.3">
      <c r="A118" s="464">
        <v>3</v>
      </c>
      <c r="B118" s="462">
        <v>3</v>
      </c>
      <c r="C118" s="431">
        <v>3</v>
      </c>
      <c r="D118" s="392">
        <v>1</v>
      </c>
      <c r="E118" s="392"/>
      <c r="F118" s="392">
        <v>5</v>
      </c>
      <c r="G118" s="392">
        <v>2</v>
      </c>
      <c r="H118" s="392"/>
      <c r="I118" s="392"/>
      <c r="J118" s="393" t="s">
        <v>76</v>
      </c>
      <c r="K118" s="372">
        <v>10000000</v>
      </c>
      <c r="L118" s="465" t="s">
        <v>475</v>
      </c>
    </row>
    <row r="119" spans="1:12" ht="23.4" x14ac:dyDescent="0.3">
      <c r="A119" s="399">
        <v>3</v>
      </c>
      <c r="B119" s="462">
        <v>3</v>
      </c>
      <c r="C119" s="431">
        <v>4</v>
      </c>
      <c r="D119" s="431"/>
      <c r="E119" s="431"/>
      <c r="F119" s="431"/>
      <c r="G119" s="431"/>
      <c r="H119" s="431"/>
      <c r="I119" s="431"/>
      <c r="J119" s="354" t="s">
        <v>476</v>
      </c>
      <c r="K119" s="404">
        <f>K121+K123+K124</f>
        <v>48720000</v>
      </c>
      <c r="L119" s="467"/>
    </row>
    <row r="120" spans="1:12" ht="22.8" x14ac:dyDescent="0.3">
      <c r="A120" s="464">
        <v>3</v>
      </c>
      <c r="B120" s="392">
        <v>3</v>
      </c>
      <c r="C120" s="392">
        <v>4</v>
      </c>
      <c r="D120" s="392">
        <v>1</v>
      </c>
      <c r="E120" s="392"/>
      <c r="F120" s="392"/>
      <c r="G120" s="392"/>
      <c r="H120" s="392"/>
      <c r="I120" s="392"/>
      <c r="J120" s="468" t="s">
        <v>477</v>
      </c>
      <c r="K120" s="440">
        <v>14500000</v>
      </c>
      <c r="L120" s="465"/>
    </row>
    <row r="121" spans="1:12" ht="22.8" x14ac:dyDescent="0.3">
      <c r="A121" s="464">
        <v>3</v>
      </c>
      <c r="B121" s="392">
        <v>3</v>
      </c>
      <c r="C121" s="392">
        <v>4</v>
      </c>
      <c r="D121" s="392">
        <v>1</v>
      </c>
      <c r="E121" s="392" t="s">
        <v>131</v>
      </c>
      <c r="F121" s="392">
        <v>5</v>
      </c>
      <c r="G121" s="392">
        <v>2</v>
      </c>
      <c r="H121" s="392"/>
      <c r="I121" s="392" t="s">
        <v>131</v>
      </c>
      <c r="J121" s="393" t="s">
        <v>76</v>
      </c>
      <c r="K121" s="372">
        <v>14520000</v>
      </c>
      <c r="L121" s="465" t="s">
        <v>163</v>
      </c>
    </row>
    <row r="122" spans="1:12" ht="22.8" x14ac:dyDescent="0.3">
      <c r="A122" s="464">
        <v>3</v>
      </c>
      <c r="B122" s="392">
        <v>3</v>
      </c>
      <c r="C122" s="392">
        <v>4</v>
      </c>
      <c r="D122" s="392">
        <v>2</v>
      </c>
      <c r="E122" s="392"/>
      <c r="F122" s="392"/>
      <c r="G122" s="392"/>
      <c r="H122" s="392"/>
      <c r="I122" s="392"/>
      <c r="J122" s="468" t="s">
        <v>341</v>
      </c>
      <c r="K122" s="440">
        <f>K123</f>
        <v>34200000</v>
      </c>
      <c r="L122" s="465"/>
    </row>
    <row r="123" spans="1:12" ht="22.8" x14ac:dyDescent="0.3">
      <c r="A123" s="464">
        <v>3</v>
      </c>
      <c r="B123" s="392">
        <v>3</v>
      </c>
      <c r="C123" s="392">
        <v>4</v>
      </c>
      <c r="D123" s="392">
        <v>2</v>
      </c>
      <c r="E123" s="392" t="s">
        <v>131</v>
      </c>
      <c r="F123" s="392">
        <v>5</v>
      </c>
      <c r="G123" s="392">
        <v>2</v>
      </c>
      <c r="H123" s="392"/>
      <c r="I123" s="392"/>
      <c r="J123" s="393" t="s">
        <v>76</v>
      </c>
      <c r="K123" s="372">
        <f>'[2]penjabaran apbdes'!M302</f>
        <v>34200000</v>
      </c>
      <c r="L123" s="465" t="s">
        <v>163</v>
      </c>
    </row>
    <row r="124" spans="1:12" ht="22.8" x14ac:dyDescent="0.3">
      <c r="A124" s="464"/>
      <c r="B124" s="391"/>
      <c r="C124" s="437"/>
      <c r="D124" s="437"/>
      <c r="E124" s="392"/>
      <c r="F124" s="392"/>
      <c r="G124" s="392"/>
      <c r="H124" s="392"/>
      <c r="I124" s="392"/>
      <c r="J124" s="393"/>
      <c r="K124" s="440"/>
      <c r="L124" s="465"/>
    </row>
    <row r="125" spans="1:12" ht="22.8" x14ac:dyDescent="0.3">
      <c r="A125" s="464"/>
      <c r="B125" s="412"/>
      <c r="C125" s="409"/>
      <c r="D125" s="409"/>
      <c r="E125" s="409"/>
      <c r="F125" s="409"/>
      <c r="G125" s="409"/>
      <c r="H125" s="409"/>
      <c r="I125" s="444"/>
      <c r="J125" s="469"/>
      <c r="K125" s="364"/>
      <c r="L125" s="470"/>
    </row>
    <row r="126" spans="1:12" ht="22.8" x14ac:dyDescent="0.3">
      <c r="A126" s="464"/>
      <c r="B126" s="412"/>
      <c r="C126" s="409"/>
      <c r="D126" s="409"/>
      <c r="E126" s="409"/>
      <c r="F126" s="409"/>
      <c r="G126" s="409"/>
      <c r="H126" s="409"/>
      <c r="I126" s="444"/>
      <c r="J126" s="469"/>
      <c r="K126" s="364"/>
      <c r="L126" s="470"/>
    </row>
    <row r="127" spans="1:12" ht="22.8" x14ac:dyDescent="0.3">
      <c r="A127" s="345">
        <v>4</v>
      </c>
      <c r="B127" s="346">
        <v>4</v>
      </c>
      <c r="C127" s="347" t="s">
        <v>131</v>
      </c>
      <c r="D127" s="347"/>
      <c r="E127" s="347"/>
      <c r="F127" s="347"/>
      <c r="G127" s="347"/>
      <c r="H127" s="347"/>
      <c r="I127" s="347"/>
      <c r="J127" s="471" t="s">
        <v>478</v>
      </c>
      <c r="K127" s="429">
        <f>'[2]penjabaran apbdes'!M321</f>
        <v>65787237.259999998</v>
      </c>
      <c r="L127" s="472"/>
    </row>
    <row r="128" spans="1:12" ht="22.8" x14ac:dyDescent="0.3">
      <c r="A128" s="399">
        <v>4</v>
      </c>
      <c r="B128" s="352">
        <v>4</v>
      </c>
      <c r="C128" s="353">
        <v>1</v>
      </c>
      <c r="D128" s="353"/>
      <c r="E128" s="353"/>
      <c r="F128" s="353"/>
      <c r="G128" s="353"/>
      <c r="H128" s="353"/>
      <c r="I128" s="353"/>
      <c r="J128" s="441" t="s">
        <v>479</v>
      </c>
      <c r="K128" s="404">
        <f>'[2]penjabaran apbdes'!M322</f>
        <v>20000000</v>
      </c>
      <c r="L128" s="467"/>
    </row>
    <row r="129" spans="1:12" ht="22.8" x14ac:dyDescent="0.3">
      <c r="A129" s="473">
        <v>4</v>
      </c>
      <c r="B129" s="391">
        <v>4</v>
      </c>
      <c r="C129" s="437">
        <v>1</v>
      </c>
      <c r="D129" s="392">
        <v>1</v>
      </c>
      <c r="E129" s="392"/>
      <c r="F129" s="392"/>
      <c r="G129" s="392"/>
      <c r="H129" s="392"/>
      <c r="I129" s="392"/>
      <c r="J129" s="393" t="s">
        <v>480</v>
      </c>
      <c r="K129" s="372">
        <f>'[2]penjabaran apbdes'!M322</f>
        <v>20000000</v>
      </c>
      <c r="L129" s="465"/>
    </row>
    <row r="130" spans="1:12" ht="22.8" x14ac:dyDescent="0.3">
      <c r="A130" s="473">
        <v>4</v>
      </c>
      <c r="B130" s="391">
        <v>4</v>
      </c>
      <c r="C130" s="437">
        <v>1</v>
      </c>
      <c r="D130" s="392">
        <v>1</v>
      </c>
      <c r="E130" s="392"/>
      <c r="F130" s="392">
        <v>5</v>
      </c>
      <c r="G130" s="392">
        <v>2</v>
      </c>
      <c r="H130" s="392"/>
      <c r="I130" s="392"/>
      <c r="J130" s="393" t="s">
        <v>76</v>
      </c>
      <c r="K130" s="372">
        <f>K129</f>
        <v>20000000</v>
      </c>
      <c r="L130" s="465" t="s">
        <v>35</v>
      </c>
    </row>
    <row r="131" spans="1:12" ht="22.8" x14ac:dyDescent="0.3">
      <c r="A131" s="473"/>
      <c r="B131" s="391">
        <v>4</v>
      </c>
      <c r="C131" s="437">
        <v>1</v>
      </c>
      <c r="D131" s="392">
        <v>2</v>
      </c>
      <c r="E131" s="392"/>
      <c r="F131" s="392"/>
      <c r="G131" s="392"/>
      <c r="H131" s="392"/>
      <c r="I131" s="392"/>
      <c r="J131" s="445" t="s">
        <v>481</v>
      </c>
      <c r="K131" s="440">
        <f>K132</f>
        <v>11037000</v>
      </c>
      <c r="L131" s="465"/>
    </row>
    <row r="132" spans="1:12" ht="22.8" x14ac:dyDescent="0.3">
      <c r="A132" s="398">
        <v>4</v>
      </c>
      <c r="B132" s="391">
        <v>4</v>
      </c>
      <c r="C132" s="437">
        <v>1</v>
      </c>
      <c r="D132" s="392">
        <v>2</v>
      </c>
      <c r="E132" s="392"/>
      <c r="F132" s="392">
        <v>5</v>
      </c>
      <c r="G132" s="392">
        <v>2</v>
      </c>
      <c r="H132" s="392"/>
      <c r="I132" s="392"/>
      <c r="J132" s="393" t="s">
        <v>76</v>
      </c>
      <c r="K132" s="372">
        <f>'[2]penjabaran apbdes'!M332</f>
        <v>11037000</v>
      </c>
      <c r="L132" s="465" t="s">
        <v>163</v>
      </c>
    </row>
    <row r="133" spans="1:12" ht="22.8" x14ac:dyDescent="0.3">
      <c r="A133" s="399">
        <v>4</v>
      </c>
      <c r="B133" s="352">
        <v>4</v>
      </c>
      <c r="C133" s="353">
        <v>2</v>
      </c>
      <c r="D133" s="353"/>
      <c r="E133" s="353"/>
      <c r="F133" s="353"/>
      <c r="G133" s="353"/>
      <c r="H133" s="353"/>
      <c r="I133" s="353"/>
      <c r="J133" s="441" t="s">
        <v>482</v>
      </c>
      <c r="K133" s="404">
        <f>K134</f>
        <v>10000000</v>
      </c>
      <c r="L133" s="467"/>
    </row>
    <row r="134" spans="1:12" ht="22.8" x14ac:dyDescent="0.3">
      <c r="A134" s="474">
        <v>4</v>
      </c>
      <c r="B134" s="475">
        <v>4</v>
      </c>
      <c r="C134" s="476">
        <v>2</v>
      </c>
      <c r="D134" s="476">
        <v>1</v>
      </c>
      <c r="E134" s="393"/>
      <c r="F134" s="393"/>
      <c r="G134" s="393"/>
      <c r="H134" s="393"/>
      <c r="I134" s="392"/>
      <c r="J134" s="393" t="s">
        <v>483</v>
      </c>
      <c r="K134" s="372">
        <v>10000000</v>
      </c>
      <c r="L134" s="465" t="s">
        <v>163</v>
      </c>
    </row>
    <row r="135" spans="1:12" ht="22.8" x14ac:dyDescent="0.3">
      <c r="A135" s="474"/>
      <c r="B135" s="352">
        <v>4</v>
      </c>
      <c r="C135" s="353">
        <v>2</v>
      </c>
      <c r="D135" s="353"/>
      <c r="E135" s="353"/>
      <c r="F135" s="353"/>
      <c r="G135" s="353"/>
      <c r="H135" s="353"/>
      <c r="I135" s="353"/>
      <c r="J135" s="441" t="s">
        <v>484</v>
      </c>
      <c r="K135" s="404">
        <f>'[2]penjabaran apbdes'!M354</f>
        <v>24750237.259999998</v>
      </c>
      <c r="L135" s="467"/>
    </row>
    <row r="136" spans="1:12" ht="22.8" x14ac:dyDescent="0.3">
      <c r="A136" s="474"/>
      <c r="B136" s="475"/>
      <c r="C136" s="476"/>
      <c r="D136" s="476"/>
      <c r="E136" s="393"/>
      <c r="F136" s="393"/>
      <c r="G136" s="393"/>
      <c r="H136" s="393"/>
      <c r="I136" s="392"/>
      <c r="J136" s="393" t="s">
        <v>485</v>
      </c>
      <c r="K136" s="372">
        <v>247200000</v>
      </c>
      <c r="L136" s="465"/>
    </row>
    <row r="137" spans="1:12" ht="22.8" x14ac:dyDescent="0.3">
      <c r="A137" s="474"/>
      <c r="B137" s="475">
        <v>4</v>
      </c>
      <c r="C137" s="476">
        <v>2</v>
      </c>
      <c r="D137" s="476">
        <v>1</v>
      </c>
      <c r="E137" s="393"/>
      <c r="F137" s="393">
        <v>5</v>
      </c>
      <c r="G137" s="393">
        <v>2</v>
      </c>
      <c r="H137" s="393"/>
      <c r="I137" s="392"/>
      <c r="J137" s="393"/>
      <c r="K137" s="372"/>
      <c r="L137" s="465"/>
    </row>
    <row r="138" spans="1:12" ht="22.8" x14ac:dyDescent="0.3">
      <c r="A138" s="345" t="s">
        <v>131</v>
      </c>
      <c r="B138" s="346">
        <v>5</v>
      </c>
      <c r="C138" s="477"/>
      <c r="D138" s="477"/>
      <c r="E138" s="477"/>
      <c r="F138" s="477"/>
      <c r="G138" s="477"/>
      <c r="H138" s="477"/>
      <c r="I138" s="477"/>
      <c r="J138" s="478" t="s">
        <v>486</v>
      </c>
      <c r="K138" s="479">
        <f>K140+K141+K144</f>
        <v>45200000</v>
      </c>
      <c r="L138" s="472"/>
    </row>
    <row r="139" spans="1:12" ht="22.8" x14ac:dyDescent="0.3">
      <c r="A139" s="464">
        <v>5</v>
      </c>
      <c r="B139" s="442">
        <v>5</v>
      </c>
      <c r="C139" s="443">
        <v>1</v>
      </c>
      <c r="D139" s="443"/>
      <c r="E139" s="392"/>
      <c r="F139" s="392"/>
      <c r="G139" s="392"/>
      <c r="H139" s="392"/>
      <c r="I139" s="392"/>
      <c r="J139" s="480" t="s">
        <v>487</v>
      </c>
      <c r="K139" s="481"/>
      <c r="L139" s="465"/>
    </row>
    <row r="140" spans="1:12" ht="22.8" x14ac:dyDescent="0.3">
      <c r="A140" s="464">
        <v>5</v>
      </c>
      <c r="B140" s="391">
        <v>5</v>
      </c>
      <c r="C140" s="437">
        <v>1</v>
      </c>
      <c r="D140" s="437"/>
      <c r="E140" s="392"/>
      <c r="F140" s="392">
        <v>5</v>
      </c>
      <c r="G140" s="392">
        <v>4</v>
      </c>
      <c r="H140" s="392"/>
      <c r="I140" s="392"/>
      <c r="J140" s="480" t="s">
        <v>488</v>
      </c>
      <c r="K140" s="482">
        <v>10000000</v>
      </c>
      <c r="L140" s="465" t="s">
        <v>163</v>
      </c>
    </row>
    <row r="141" spans="1:12" ht="22.8" x14ac:dyDescent="0.3">
      <c r="A141" s="464">
        <v>5</v>
      </c>
      <c r="B141" s="442">
        <v>5</v>
      </c>
      <c r="C141" s="443">
        <v>2</v>
      </c>
      <c r="D141" s="443"/>
      <c r="E141" s="392"/>
      <c r="F141" s="392"/>
      <c r="G141" s="392"/>
      <c r="H141" s="392"/>
      <c r="I141" s="392"/>
      <c r="J141" s="480" t="s">
        <v>489</v>
      </c>
      <c r="K141" s="482">
        <v>10000000</v>
      </c>
      <c r="L141" s="465" t="s">
        <v>163</v>
      </c>
    </row>
    <row r="142" spans="1:12" ht="22.8" x14ac:dyDescent="0.3">
      <c r="A142" s="464">
        <v>5</v>
      </c>
      <c r="B142" s="442">
        <v>5</v>
      </c>
      <c r="C142" s="443">
        <v>2</v>
      </c>
      <c r="D142" s="483"/>
      <c r="E142" s="484">
        <v>5</v>
      </c>
      <c r="F142" s="442">
        <v>5</v>
      </c>
      <c r="G142" s="443">
        <v>4</v>
      </c>
      <c r="H142" s="484"/>
      <c r="I142" s="484">
        <v>4</v>
      </c>
      <c r="J142" s="485" t="s">
        <v>488</v>
      </c>
      <c r="K142" s="481"/>
      <c r="L142" s="465"/>
    </row>
    <row r="143" spans="1:12" ht="23.4" x14ac:dyDescent="0.3">
      <c r="A143" s="464">
        <v>5</v>
      </c>
      <c r="B143" s="486">
        <v>5</v>
      </c>
      <c r="C143" s="487">
        <v>3</v>
      </c>
      <c r="D143" s="487"/>
      <c r="E143" s="488"/>
      <c r="F143" s="488"/>
      <c r="G143" s="488"/>
      <c r="H143" s="488"/>
      <c r="I143" s="488"/>
      <c r="J143" s="489" t="s">
        <v>490</v>
      </c>
      <c r="K143" s="418">
        <f>'[2]penjabaran apbdes'!M373</f>
        <v>25200000</v>
      </c>
      <c r="L143" s="490" t="s">
        <v>491</v>
      </c>
    </row>
    <row r="144" spans="1:12" ht="22.8" x14ac:dyDescent="0.3">
      <c r="A144" s="464">
        <v>5</v>
      </c>
      <c r="B144" s="391">
        <v>5</v>
      </c>
      <c r="C144" s="437">
        <v>3</v>
      </c>
      <c r="D144" s="437"/>
      <c r="E144" s="392"/>
      <c r="F144" s="442">
        <v>5</v>
      </c>
      <c r="G144" s="443">
        <v>4</v>
      </c>
      <c r="H144" s="392"/>
      <c r="I144" s="392"/>
      <c r="J144" s="480" t="s">
        <v>492</v>
      </c>
      <c r="K144" s="491">
        <v>25200000</v>
      </c>
      <c r="L144" s="379" t="s">
        <v>163</v>
      </c>
    </row>
    <row r="145" spans="1:12" ht="22.8" x14ac:dyDescent="0.3">
      <c r="A145" s="492">
        <v>6</v>
      </c>
      <c r="B145" s="493"/>
      <c r="C145" s="387"/>
      <c r="D145" s="387"/>
      <c r="E145" s="387"/>
      <c r="F145" s="387"/>
      <c r="G145" s="387"/>
      <c r="H145" s="387"/>
      <c r="I145" s="387"/>
      <c r="J145" s="494" t="s">
        <v>381</v>
      </c>
      <c r="K145" s="389">
        <f>K27+K78+K109+K127+K138</f>
        <v>1973722516.6800001</v>
      </c>
      <c r="L145" s="495"/>
    </row>
    <row r="146" spans="1:12" ht="22.8" x14ac:dyDescent="0.4">
      <c r="A146" s="464">
        <v>6</v>
      </c>
      <c r="B146" s="496">
        <v>1</v>
      </c>
      <c r="C146" s="315" t="s">
        <v>131</v>
      </c>
      <c r="D146" s="315"/>
      <c r="E146" s="315"/>
      <c r="F146" s="315"/>
      <c r="G146" s="315"/>
      <c r="H146" s="315"/>
      <c r="I146" s="497"/>
      <c r="J146" s="360" t="s">
        <v>493</v>
      </c>
      <c r="K146" s="498">
        <f>K145-K24</f>
        <v>-30482983.319999933</v>
      </c>
      <c r="L146" s="358"/>
    </row>
    <row r="147" spans="1:12" ht="22.8" x14ac:dyDescent="0.4">
      <c r="A147" s="464">
        <v>6</v>
      </c>
      <c r="B147" s="499">
        <v>6</v>
      </c>
      <c r="C147" s="500" t="s">
        <v>131</v>
      </c>
      <c r="D147" s="500"/>
      <c r="E147" s="500"/>
      <c r="F147" s="500"/>
      <c r="G147" s="500"/>
      <c r="H147" s="500"/>
      <c r="I147" s="501"/>
      <c r="J147" s="502" t="s">
        <v>384</v>
      </c>
      <c r="K147" s="349"/>
      <c r="L147" s="430"/>
    </row>
    <row r="148" spans="1:12" ht="22.8" x14ac:dyDescent="0.4">
      <c r="A148" s="464">
        <v>6</v>
      </c>
      <c r="B148" s="496">
        <v>6</v>
      </c>
      <c r="C148" s="503">
        <v>1</v>
      </c>
      <c r="D148" s="503"/>
      <c r="E148" s="371">
        <v>1</v>
      </c>
      <c r="F148" s="371"/>
      <c r="G148" s="371"/>
      <c r="H148" s="371"/>
      <c r="I148" s="497"/>
      <c r="J148" s="504" t="s">
        <v>494</v>
      </c>
      <c r="K148" s="505"/>
      <c r="L148" s="358"/>
    </row>
    <row r="149" spans="1:12" ht="22.8" x14ac:dyDescent="0.4">
      <c r="A149" s="464">
        <v>6</v>
      </c>
      <c r="B149" s="496">
        <v>6</v>
      </c>
      <c r="C149" s="503">
        <v>2</v>
      </c>
      <c r="D149" s="503"/>
      <c r="E149" s="371">
        <v>1</v>
      </c>
      <c r="F149" s="371"/>
      <c r="G149" s="371"/>
      <c r="H149" s="371"/>
      <c r="I149" s="497"/>
      <c r="J149" s="504" t="s">
        <v>495</v>
      </c>
      <c r="K149" s="506">
        <v>101676976.68000001</v>
      </c>
      <c r="L149" s="358"/>
    </row>
    <row r="150" spans="1:12" ht="22.8" x14ac:dyDescent="0.4">
      <c r="A150" s="464">
        <v>6</v>
      </c>
      <c r="B150" s="496">
        <v>6</v>
      </c>
      <c r="C150" s="503">
        <v>3</v>
      </c>
      <c r="D150" s="503"/>
      <c r="E150" s="371">
        <v>1</v>
      </c>
      <c r="F150" s="371"/>
      <c r="G150" s="371"/>
      <c r="H150" s="371"/>
      <c r="I150" s="497"/>
      <c r="J150" s="360" t="s">
        <v>496</v>
      </c>
      <c r="K150" s="505"/>
      <c r="L150" s="358"/>
    </row>
    <row r="151" spans="1:12" ht="22.8" x14ac:dyDescent="0.4">
      <c r="A151" s="464">
        <v>6</v>
      </c>
      <c r="B151" s="496">
        <v>6</v>
      </c>
      <c r="C151" s="503">
        <v>4</v>
      </c>
      <c r="D151" s="503"/>
      <c r="E151" s="371">
        <v>1</v>
      </c>
      <c r="F151" s="371"/>
      <c r="G151" s="371"/>
      <c r="H151" s="371"/>
      <c r="I151" s="497"/>
      <c r="J151" s="360" t="s">
        <v>497</v>
      </c>
      <c r="K151" s="505"/>
      <c r="L151" s="358"/>
    </row>
    <row r="152" spans="1:12" ht="22.8" x14ac:dyDescent="0.4">
      <c r="A152" s="464">
        <v>6</v>
      </c>
      <c r="B152" s="496">
        <v>6</v>
      </c>
      <c r="C152" s="503">
        <v>5</v>
      </c>
      <c r="D152" s="503"/>
      <c r="E152" s="371">
        <v>1</v>
      </c>
      <c r="F152" s="371"/>
      <c r="G152" s="371"/>
      <c r="H152" s="371"/>
      <c r="I152" s="497"/>
      <c r="J152" s="360" t="s">
        <v>498</v>
      </c>
      <c r="K152" s="505"/>
      <c r="L152" s="358"/>
    </row>
    <row r="153" spans="1:12" ht="23.4" x14ac:dyDescent="0.4">
      <c r="A153" s="507">
        <v>7</v>
      </c>
      <c r="B153" s="499">
        <v>7</v>
      </c>
      <c r="C153" s="508"/>
      <c r="D153" s="508"/>
      <c r="E153" s="501"/>
      <c r="F153" s="501"/>
      <c r="G153" s="501"/>
      <c r="H153" s="501"/>
      <c r="I153" s="501"/>
      <c r="J153" s="509" t="s">
        <v>392</v>
      </c>
      <c r="K153" s="349">
        <f>K154+K155</f>
        <v>15000000</v>
      </c>
      <c r="L153" s="430"/>
    </row>
    <row r="154" spans="1:12" ht="22.8" x14ac:dyDescent="0.4">
      <c r="A154" s="464">
        <v>7</v>
      </c>
      <c r="B154" s="496">
        <v>7</v>
      </c>
      <c r="C154" s="503">
        <v>1</v>
      </c>
      <c r="D154" s="503"/>
      <c r="E154" s="371">
        <v>1</v>
      </c>
      <c r="F154" s="371"/>
      <c r="G154" s="371"/>
      <c r="H154" s="371"/>
      <c r="I154" s="497"/>
      <c r="J154" s="504" t="s">
        <v>499</v>
      </c>
      <c r="K154" s="505">
        <v>15000000</v>
      </c>
      <c r="L154" s="358" t="s">
        <v>38</v>
      </c>
    </row>
    <row r="155" spans="1:12" ht="22.8" x14ac:dyDescent="0.4">
      <c r="A155" s="464">
        <v>7</v>
      </c>
      <c r="B155" s="496">
        <v>7</v>
      </c>
      <c r="C155" s="503">
        <v>2</v>
      </c>
      <c r="D155" s="503"/>
      <c r="E155" s="503">
        <v>1</v>
      </c>
      <c r="F155" s="503"/>
      <c r="G155" s="503"/>
      <c r="H155" s="503"/>
      <c r="I155" s="371" t="s">
        <v>131</v>
      </c>
      <c r="J155" s="373" t="s">
        <v>500</v>
      </c>
      <c r="K155" s="505"/>
      <c r="L155" s="358" t="s">
        <v>163</v>
      </c>
    </row>
    <row r="156" spans="1:12" ht="23.4" thickBot="1" x14ac:dyDescent="0.35">
      <c r="A156" s="510"/>
      <c r="B156" s="511" t="s">
        <v>501</v>
      </c>
      <c r="C156" s="512"/>
      <c r="D156" s="512"/>
      <c r="E156" s="512"/>
      <c r="F156" s="512"/>
      <c r="G156" s="512"/>
      <c r="H156" s="512"/>
      <c r="I156" s="512"/>
      <c r="J156" s="513"/>
      <c r="K156" s="514">
        <v>0</v>
      </c>
      <c r="L156" s="515"/>
    </row>
    <row r="157" spans="1:12" ht="24" thickTop="1" x14ac:dyDescent="0.45">
      <c r="B157" s="516"/>
      <c r="C157" s="516"/>
      <c r="D157" s="516"/>
      <c r="E157" s="516"/>
      <c r="F157" s="516"/>
      <c r="G157" s="516"/>
      <c r="H157" s="516"/>
      <c r="I157" s="516"/>
      <c r="J157" s="516"/>
      <c r="K157" s="516"/>
      <c r="L157" s="516"/>
    </row>
    <row r="158" spans="1:12" ht="25.8" x14ac:dyDescent="0.5">
      <c r="B158" s="516"/>
      <c r="C158" s="516"/>
      <c r="D158" s="516"/>
      <c r="E158" s="516"/>
      <c r="F158" s="516"/>
      <c r="G158" s="516"/>
      <c r="H158" s="516"/>
      <c r="I158" s="516"/>
      <c r="J158" s="516"/>
      <c r="K158" s="517"/>
      <c r="L158" s="516"/>
    </row>
    <row r="159" spans="1:12" ht="25.8" x14ac:dyDescent="0.5">
      <c r="B159" s="516"/>
      <c r="C159" s="516"/>
      <c r="D159" s="516"/>
      <c r="E159" s="516"/>
      <c r="F159" s="516"/>
      <c r="G159" s="516"/>
      <c r="H159" s="516"/>
      <c r="I159" s="516"/>
      <c r="J159" s="516"/>
      <c r="K159" s="518"/>
      <c r="L159" s="516"/>
    </row>
    <row r="160" spans="1:12" ht="25.8" x14ac:dyDescent="0.5">
      <c r="B160" s="516"/>
      <c r="C160" s="516"/>
      <c r="D160" s="516"/>
      <c r="E160" s="516"/>
      <c r="F160" s="516"/>
      <c r="G160" s="516"/>
      <c r="H160" s="516"/>
      <c r="I160" s="516"/>
      <c r="J160" s="516"/>
      <c r="K160" s="517"/>
      <c r="L160" s="516"/>
    </row>
    <row r="161" spans="2:12" ht="25.8" x14ac:dyDescent="0.5">
      <c r="B161" s="516"/>
      <c r="C161" s="516"/>
      <c r="D161" s="516"/>
      <c r="E161" s="516"/>
      <c r="F161" s="516"/>
      <c r="G161" s="516"/>
      <c r="H161" s="516"/>
      <c r="I161" s="516"/>
      <c r="J161" s="516"/>
      <c r="K161" s="517"/>
      <c r="L161" s="516"/>
    </row>
    <row r="162" spans="2:12" ht="25.8" x14ac:dyDescent="0.5">
      <c r="B162" s="516"/>
      <c r="C162" s="516"/>
      <c r="D162" s="516"/>
      <c r="E162" s="516"/>
      <c r="F162" s="516"/>
      <c r="G162" s="516"/>
      <c r="H162" s="516"/>
      <c r="I162" s="516"/>
      <c r="J162" s="516"/>
      <c r="K162" s="519"/>
      <c r="L162" s="516"/>
    </row>
    <row r="163" spans="2:12" ht="25.8" x14ac:dyDescent="0.5">
      <c r="B163" s="516"/>
      <c r="C163" s="516"/>
      <c r="D163" s="516"/>
      <c r="E163" s="516"/>
      <c r="F163" s="516"/>
      <c r="G163" s="516"/>
      <c r="H163" s="516"/>
      <c r="I163" s="516"/>
      <c r="J163" s="516"/>
      <c r="K163" s="519"/>
      <c r="L163" s="516"/>
    </row>
  </sheetData>
  <mergeCells count="12">
    <mergeCell ref="A9:L9"/>
    <mergeCell ref="A10:L10"/>
    <mergeCell ref="B11:L11"/>
    <mergeCell ref="B12:I12"/>
    <mergeCell ref="B13:I13"/>
    <mergeCell ref="B156:J156"/>
    <mergeCell ref="K1:L1"/>
    <mergeCell ref="K3:L3"/>
    <mergeCell ref="K4:L4"/>
    <mergeCell ref="K5:L5"/>
    <mergeCell ref="A7:L7"/>
    <mergeCell ref="A8:L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APBDES PERUBAHAN</vt:lpstr>
      <vt:lpstr>APBDES AWAL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SAMBIGEDE</dc:creator>
  <cp:lastModifiedBy>SAMBIGEDE</cp:lastModifiedBy>
  <dcterms:created xsi:type="dcterms:W3CDTF">2026-07-10T07:30:33Z</dcterms:created>
  <dcterms:modified xsi:type="dcterms:W3CDTF">2026-07-10T07:34:28Z</dcterms:modified>
</cp:coreProperties>
</file>